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ANALISIS_MANTTO_PREDICTIVO\"/>
    </mc:Choice>
  </mc:AlternateContent>
  <xr:revisionPtr revIDLastSave="0" documentId="8_{6AB2D7F3-6D87-4597-ADC5-9E39EB461727}" xr6:coauthVersionLast="47" xr6:coauthVersionMax="47" xr10:uidLastSave="{00000000-0000-0000-0000-000000000000}"/>
  <bookViews>
    <workbookView xWindow="-120" yWindow="-120" windowWidth="38640" windowHeight="21120" tabRatio="684" xr2:uid="{00000000-000D-0000-FFFF-FFFF00000000}"/>
  </bookViews>
  <sheets>
    <sheet name="DATOS" sheetId="47540" r:id="rId1"/>
    <sheet name="TAGS" sheetId="47541" state="hidden" r:id="rId2"/>
  </sheets>
  <externalReferences>
    <externalReference r:id="rId3"/>
  </externalReferences>
  <definedNames>
    <definedName name="_xlnm._FilterDatabase" localSheetId="1" hidden="1">TAGS!#REF!</definedName>
    <definedName name="analogicos">TAGS!$A$2:$A$513</definedName>
    <definedName name="_xlnm.Print_Area" localSheetId="0">DATOS!$A$5:$I$12</definedName>
    <definedName name="Tabla" localSheetId="0">DATOS!#REF!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47540" l="1"/>
  <c r="F8" i="47541"/>
  <c r="F7" i="47541"/>
  <c r="F6" i="47541"/>
  <c r="F5" i="47541"/>
  <c r="F4" i="47541"/>
  <c r="F3" i="47541"/>
  <c r="F2" i="47541"/>
  <c r="Q16" i="47541" l="1"/>
  <c r="A6" i="47540" s="1"/>
  <c r="P14" i="47541"/>
  <c r="P16" i="47541" s="1"/>
  <c r="D8" i="47540" s="1"/>
  <c r="P13" i="47541"/>
  <c r="B513" i="47541" l="1"/>
  <c r="B512" i="47541"/>
  <c r="B511" i="47541"/>
  <c r="B510" i="47541"/>
  <c r="B509" i="47541"/>
  <c r="B508" i="47541"/>
  <c r="B507" i="47541"/>
  <c r="B506" i="47541"/>
  <c r="B505" i="47541"/>
  <c r="B504" i="47541"/>
  <c r="B503" i="47541"/>
  <c r="B502" i="47541"/>
  <c r="B501" i="47541"/>
  <c r="B500" i="47541"/>
  <c r="B499" i="47541"/>
  <c r="B498" i="47541"/>
  <c r="B497" i="47541"/>
  <c r="B496" i="47541"/>
  <c r="B495" i="47541"/>
  <c r="B494" i="47541"/>
  <c r="B493" i="47541"/>
  <c r="B492" i="47541"/>
  <c r="B491" i="47541"/>
  <c r="B490" i="47541"/>
  <c r="B489" i="47541"/>
  <c r="B488" i="47541"/>
  <c r="B487" i="47541"/>
  <c r="B486" i="47541"/>
  <c r="B485" i="47541"/>
  <c r="B484" i="47541"/>
  <c r="B483" i="47541"/>
  <c r="B482" i="47541"/>
  <c r="B481" i="47541"/>
  <c r="B480" i="47541"/>
  <c r="B479" i="47541"/>
  <c r="B478" i="47541"/>
  <c r="B477" i="47541"/>
  <c r="B476" i="47541"/>
  <c r="B475" i="47541"/>
  <c r="B474" i="47541"/>
  <c r="B473" i="47541"/>
  <c r="B472" i="47541"/>
  <c r="B471" i="47541"/>
  <c r="B470" i="47541"/>
  <c r="B469" i="47541"/>
  <c r="B468" i="47541"/>
  <c r="B467" i="47541"/>
  <c r="B466" i="47541"/>
  <c r="B465" i="47541"/>
  <c r="B464" i="47541"/>
  <c r="B463" i="47541"/>
  <c r="B462" i="47541"/>
  <c r="B461" i="47541"/>
  <c r="B460" i="47541"/>
  <c r="B459" i="47541"/>
  <c r="B458" i="47541"/>
  <c r="B457" i="47541"/>
  <c r="B456" i="47541"/>
  <c r="B455" i="47541"/>
  <c r="B454" i="47541"/>
  <c r="B453" i="47541"/>
  <c r="B452" i="47541"/>
  <c r="B451" i="47541"/>
  <c r="B450" i="47541"/>
  <c r="B449" i="47541"/>
  <c r="B448" i="47541"/>
  <c r="B447" i="47541"/>
  <c r="B446" i="47541"/>
  <c r="B445" i="47541"/>
  <c r="B444" i="47541"/>
  <c r="B443" i="47541"/>
  <c r="B442" i="47541"/>
  <c r="B441" i="47541"/>
  <c r="B440" i="47541"/>
  <c r="B439" i="47541"/>
  <c r="B438" i="47541"/>
  <c r="B437" i="47541"/>
  <c r="B436" i="47541"/>
  <c r="B435" i="47541"/>
  <c r="B434" i="47541"/>
  <c r="B433" i="47541"/>
  <c r="B432" i="47541"/>
  <c r="B431" i="47541"/>
  <c r="B430" i="47541"/>
  <c r="B429" i="47541"/>
  <c r="B428" i="47541"/>
  <c r="B427" i="47541"/>
  <c r="B426" i="47541"/>
  <c r="B425" i="47541"/>
  <c r="B424" i="47541"/>
  <c r="B423" i="47541"/>
  <c r="B422" i="47541"/>
  <c r="B421" i="47541"/>
  <c r="B420" i="47541"/>
  <c r="B419" i="47541"/>
  <c r="B418" i="47541"/>
  <c r="B417" i="47541"/>
  <c r="B416" i="47541"/>
  <c r="B415" i="47541"/>
  <c r="B414" i="47541"/>
  <c r="B413" i="47541"/>
  <c r="B412" i="47541"/>
  <c r="B411" i="47541"/>
  <c r="B410" i="47541"/>
  <c r="B409" i="47541"/>
  <c r="B408" i="47541"/>
  <c r="B407" i="47541"/>
  <c r="B406" i="47541"/>
  <c r="B405" i="47541"/>
  <c r="B404" i="47541"/>
  <c r="B403" i="47541"/>
  <c r="B402" i="47541"/>
  <c r="B401" i="47541"/>
  <c r="B400" i="47541"/>
  <c r="B399" i="47541"/>
  <c r="B398" i="47541"/>
  <c r="B397" i="47541"/>
  <c r="B396" i="47541"/>
  <c r="B395" i="47541"/>
  <c r="B394" i="47541"/>
  <c r="B393" i="47541"/>
  <c r="B392" i="47541"/>
  <c r="B391" i="47541"/>
  <c r="B390" i="47541"/>
  <c r="B389" i="47541"/>
  <c r="B388" i="47541"/>
  <c r="B387" i="47541"/>
  <c r="B386" i="47541"/>
  <c r="B385" i="47541"/>
  <c r="B384" i="47541"/>
  <c r="B383" i="47541"/>
  <c r="B382" i="47541"/>
  <c r="B381" i="47541"/>
  <c r="B380" i="47541"/>
  <c r="B379" i="47541"/>
  <c r="B378" i="47541"/>
  <c r="B377" i="47541"/>
  <c r="B376" i="47541"/>
  <c r="B375" i="47541"/>
  <c r="B374" i="47541"/>
  <c r="B373" i="47541"/>
  <c r="B372" i="47541"/>
  <c r="B371" i="47541"/>
  <c r="B370" i="47541"/>
  <c r="B369" i="47541"/>
  <c r="B368" i="47541"/>
  <c r="B367" i="47541"/>
  <c r="B366" i="47541"/>
  <c r="B365" i="47541"/>
  <c r="B364" i="47541"/>
  <c r="B363" i="47541"/>
  <c r="B362" i="47541"/>
  <c r="B361" i="47541"/>
  <c r="B360" i="47541"/>
  <c r="B359" i="47541"/>
  <c r="B358" i="47541"/>
  <c r="B357" i="47541"/>
  <c r="B356" i="47541"/>
  <c r="B355" i="47541"/>
  <c r="B354" i="47541"/>
  <c r="I11" i="47540" s="1"/>
  <c r="B353" i="47541"/>
  <c r="B352" i="47541"/>
  <c r="B351" i="47541"/>
  <c r="B350" i="47541"/>
  <c r="B349" i="47541"/>
  <c r="B348" i="47541"/>
  <c r="B347" i="47541"/>
  <c r="B346" i="47541"/>
  <c r="B345" i="47541"/>
  <c r="B344" i="47541"/>
  <c r="B343" i="47541"/>
  <c r="B342" i="47541"/>
  <c r="B341" i="47541"/>
  <c r="B340" i="47541"/>
  <c r="B339" i="47541"/>
  <c r="B338" i="47541"/>
  <c r="B337" i="47541"/>
  <c r="B336" i="47541"/>
  <c r="B335" i="47541"/>
  <c r="B334" i="47541"/>
  <c r="B333" i="47541"/>
  <c r="B332" i="47541"/>
  <c r="B331" i="47541"/>
  <c r="B330" i="47541"/>
  <c r="B329" i="47541"/>
  <c r="B328" i="47541"/>
  <c r="B327" i="47541"/>
  <c r="B326" i="47541"/>
  <c r="B325" i="47541"/>
  <c r="B324" i="47541"/>
  <c r="B323" i="47541"/>
  <c r="B322" i="47541"/>
  <c r="B321" i="47541"/>
  <c r="B320" i="47541"/>
  <c r="B319" i="47541"/>
  <c r="B318" i="47541"/>
  <c r="B317" i="47541"/>
  <c r="B316" i="47541"/>
  <c r="B315" i="47541"/>
  <c r="B314" i="47541"/>
  <c r="B313" i="47541"/>
  <c r="B312" i="47541"/>
  <c r="B311" i="47541"/>
  <c r="B310" i="47541"/>
  <c r="B309" i="47541"/>
  <c r="B308" i="47541"/>
  <c r="B307" i="47541"/>
  <c r="B306" i="47541"/>
  <c r="B305" i="47541"/>
  <c r="B304" i="47541"/>
  <c r="B303" i="47541"/>
  <c r="B302" i="47541"/>
  <c r="B301" i="47541"/>
  <c r="B300" i="47541"/>
  <c r="B299" i="47541"/>
  <c r="B298" i="47541"/>
  <c r="B297" i="47541"/>
  <c r="B296" i="47541"/>
  <c r="B295" i="47541"/>
  <c r="B294" i="47541"/>
  <c r="B293" i="47541"/>
  <c r="B292" i="47541"/>
  <c r="B291" i="47541"/>
  <c r="B290" i="47541"/>
  <c r="B289" i="47541"/>
  <c r="B288" i="47541"/>
  <c r="B287" i="47541"/>
  <c r="B286" i="47541"/>
  <c r="B285" i="47541"/>
  <c r="B284" i="47541"/>
  <c r="B283" i="47541"/>
  <c r="B282" i="47541"/>
  <c r="B281" i="47541"/>
  <c r="B280" i="47541"/>
  <c r="B279" i="47541"/>
  <c r="B278" i="47541"/>
  <c r="B277" i="47541"/>
  <c r="B276" i="47541"/>
  <c r="B275" i="47541"/>
  <c r="B274" i="47541"/>
  <c r="B273" i="47541"/>
  <c r="B272" i="47541"/>
  <c r="B271" i="47541"/>
  <c r="B270" i="47541"/>
  <c r="B269" i="47541"/>
  <c r="B268" i="47541"/>
  <c r="B267" i="47541"/>
  <c r="B266" i="47541"/>
  <c r="B265" i="47541"/>
  <c r="B264" i="47541"/>
  <c r="B263" i="47541"/>
  <c r="B262" i="47541"/>
  <c r="B261" i="47541"/>
  <c r="B260" i="47541"/>
  <c r="B259" i="47541"/>
  <c r="B258" i="47541"/>
  <c r="B257" i="47541"/>
  <c r="B256" i="47541"/>
  <c r="B255" i="47541"/>
  <c r="B254" i="47541"/>
  <c r="B253" i="47541"/>
  <c r="B252" i="47541"/>
  <c r="B251" i="47541"/>
  <c r="B250" i="47541"/>
  <c r="B249" i="47541"/>
  <c r="B248" i="47541"/>
  <c r="B247" i="47541"/>
  <c r="B246" i="47541"/>
  <c r="B245" i="47541"/>
  <c r="B244" i="47541"/>
  <c r="B243" i="47541"/>
  <c r="B242" i="47541"/>
  <c r="B241" i="47541"/>
  <c r="B240" i="47541"/>
  <c r="B239" i="47541"/>
  <c r="B238" i="47541"/>
  <c r="B237" i="47541"/>
  <c r="B236" i="47541"/>
  <c r="B235" i="47541"/>
  <c r="B234" i="47541"/>
  <c r="B233" i="47541"/>
  <c r="B232" i="47541"/>
  <c r="B231" i="47541"/>
  <c r="B230" i="47541"/>
  <c r="B229" i="47541"/>
  <c r="B228" i="47541"/>
  <c r="B227" i="47541"/>
  <c r="B226" i="47541"/>
  <c r="B225" i="47541"/>
  <c r="B224" i="47541"/>
  <c r="B223" i="47541"/>
  <c r="B222" i="47541"/>
  <c r="B221" i="47541"/>
  <c r="B220" i="47541"/>
  <c r="B219" i="47541"/>
  <c r="B218" i="47541"/>
  <c r="B217" i="47541"/>
  <c r="B216" i="47541"/>
  <c r="B215" i="47541"/>
  <c r="B214" i="47541"/>
  <c r="B213" i="47541"/>
  <c r="B212" i="47541"/>
  <c r="B211" i="47541"/>
  <c r="B210" i="47541"/>
  <c r="B209" i="47541"/>
  <c r="B208" i="47541"/>
  <c r="B207" i="47541"/>
  <c r="B206" i="47541"/>
  <c r="B205" i="47541"/>
  <c r="B204" i="47541"/>
  <c r="B203" i="47541"/>
  <c r="B202" i="47541"/>
  <c r="B201" i="47541"/>
  <c r="B200" i="47541"/>
  <c r="B199" i="47541"/>
  <c r="B198" i="47541"/>
  <c r="B197" i="47541"/>
  <c r="B196" i="47541"/>
  <c r="B195" i="47541"/>
  <c r="B194" i="47541"/>
  <c r="B193" i="47541"/>
  <c r="B192" i="47541"/>
  <c r="B191" i="47541"/>
  <c r="B190" i="47541"/>
  <c r="B189" i="47541"/>
  <c r="B188" i="47541"/>
  <c r="B187" i="47541"/>
  <c r="B186" i="47541"/>
  <c r="B185" i="47541"/>
  <c r="B184" i="47541"/>
  <c r="B183" i="47541"/>
  <c r="B182" i="47541"/>
  <c r="B181" i="47541"/>
  <c r="B180" i="47541"/>
  <c r="H11" i="47540" s="1"/>
  <c r="B179" i="47541"/>
  <c r="G11" i="47540" s="1"/>
  <c r="B178" i="47541"/>
  <c r="B177" i="47541"/>
  <c r="F11" i="47540" s="1"/>
  <c r="B176" i="47541"/>
  <c r="E11" i="47540" s="1"/>
  <c r="B175" i="47541"/>
  <c r="D11" i="47540" s="1"/>
  <c r="B174" i="47541"/>
  <c r="C11" i="47540" s="1"/>
  <c r="B173" i="47541"/>
  <c r="B172" i="47541"/>
  <c r="B171" i="47541"/>
  <c r="B170" i="47541"/>
  <c r="B169" i="47541"/>
  <c r="B168" i="47541"/>
  <c r="B167" i="47541"/>
  <c r="B166" i="47541"/>
  <c r="B165" i="47541"/>
  <c r="B164" i="47541"/>
  <c r="B163" i="47541"/>
  <c r="B162" i="47541"/>
  <c r="B161" i="47541"/>
  <c r="B160" i="47541"/>
  <c r="B159" i="47541"/>
  <c r="B158" i="47541"/>
  <c r="B157" i="47541"/>
  <c r="B156" i="47541"/>
  <c r="B155" i="47541"/>
  <c r="B154" i="47541"/>
  <c r="B153" i="47541"/>
  <c r="B152" i="47541"/>
  <c r="B151" i="47541"/>
  <c r="B150" i="47541"/>
  <c r="B149" i="47541"/>
  <c r="B148" i="47541"/>
  <c r="B147" i="47541"/>
  <c r="B146" i="47541"/>
  <c r="B145" i="47541"/>
  <c r="B144" i="47541"/>
  <c r="B143" i="47541"/>
  <c r="B142" i="47541"/>
  <c r="B141" i="47541"/>
  <c r="B140" i="47541"/>
  <c r="B139" i="47541"/>
  <c r="B138" i="47541"/>
  <c r="B137" i="47541"/>
  <c r="B136" i="47541"/>
  <c r="B135" i="47541"/>
  <c r="B134" i="47541"/>
  <c r="B133" i="47541"/>
  <c r="B132" i="47541"/>
  <c r="B131" i="47541"/>
  <c r="B130" i="47541"/>
  <c r="B129" i="47541"/>
  <c r="B128" i="47541"/>
  <c r="B127" i="47541"/>
  <c r="B126" i="47541"/>
  <c r="B125" i="47541"/>
  <c r="B124" i="47541"/>
  <c r="B123" i="47541"/>
  <c r="B122" i="47541"/>
  <c r="B121" i="47541"/>
  <c r="B120" i="47541"/>
  <c r="B119" i="47541"/>
  <c r="B118" i="47541"/>
  <c r="B117" i="47541"/>
  <c r="B116" i="47541"/>
  <c r="B115" i="47541"/>
  <c r="B114" i="47541"/>
  <c r="B113" i="47541"/>
  <c r="B112" i="47541"/>
  <c r="B111" i="47541"/>
  <c r="B110" i="47541"/>
  <c r="B109" i="47541"/>
  <c r="B108" i="47541"/>
  <c r="B107" i="47541"/>
  <c r="B106" i="47541"/>
  <c r="B105" i="47541"/>
  <c r="B104" i="47541"/>
  <c r="B103" i="47541"/>
  <c r="B102" i="47541"/>
  <c r="B101" i="47541"/>
  <c r="B100" i="47541"/>
  <c r="B99" i="47541"/>
  <c r="B98" i="47541"/>
  <c r="B97" i="47541"/>
  <c r="B96" i="47541"/>
  <c r="B95" i="47541"/>
  <c r="B94" i="47541"/>
  <c r="B93" i="47541"/>
  <c r="B92" i="47541"/>
  <c r="B91" i="47541"/>
  <c r="B90" i="47541"/>
  <c r="B89" i="47541"/>
  <c r="B88" i="47541"/>
  <c r="B87" i="47541"/>
  <c r="B86" i="47541"/>
  <c r="B85" i="47541"/>
  <c r="B84" i="47541"/>
  <c r="B83" i="47541"/>
  <c r="B82" i="47541"/>
  <c r="B81" i="47541"/>
  <c r="B80" i="47541"/>
  <c r="B79" i="47541"/>
  <c r="B78" i="47541"/>
  <c r="B77" i="47541"/>
  <c r="B76" i="47541"/>
  <c r="B75" i="47541"/>
  <c r="B74" i="47541"/>
  <c r="B73" i="47541"/>
  <c r="B72" i="47541"/>
  <c r="B71" i="47541"/>
  <c r="B70" i="47541"/>
  <c r="B69" i="47541"/>
  <c r="B68" i="47541"/>
  <c r="B67" i="47541"/>
  <c r="B66" i="47541"/>
  <c r="B65" i="47541"/>
  <c r="B64" i="47541"/>
  <c r="B63" i="47541"/>
  <c r="B62" i="47541"/>
  <c r="B61" i="47541"/>
  <c r="B60" i="47541"/>
  <c r="B59" i="47541"/>
  <c r="B58" i="47541"/>
  <c r="B57" i="47541"/>
  <c r="B56" i="47541"/>
  <c r="B55" i="47541"/>
  <c r="B54" i="47541"/>
  <c r="B53" i="47541"/>
  <c r="B52" i="47541"/>
  <c r="B51" i="47541"/>
  <c r="B50" i="47541"/>
  <c r="B49" i="47541"/>
  <c r="B48" i="47541"/>
  <c r="B47" i="47541"/>
  <c r="B46" i="47541"/>
  <c r="B45" i="47541"/>
  <c r="B44" i="47541"/>
  <c r="B43" i="47541"/>
  <c r="B42" i="47541"/>
  <c r="B41" i="47541"/>
  <c r="B40" i="47541"/>
  <c r="B39" i="47541"/>
  <c r="B38" i="47541"/>
  <c r="B37" i="47541"/>
  <c r="B36" i="47541"/>
  <c r="B35" i="47541"/>
  <c r="B34" i="47541"/>
  <c r="B33" i="47541"/>
  <c r="B32" i="47541"/>
  <c r="B31" i="47541"/>
  <c r="B30" i="47541"/>
  <c r="B29" i="47541"/>
  <c r="B28" i="47541"/>
  <c r="B27" i="47541"/>
  <c r="B26" i="47541"/>
  <c r="B25" i="47541"/>
  <c r="B24" i="47541"/>
  <c r="B23" i="47541"/>
  <c r="B22" i="47541"/>
  <c r="B21" i="47541"/>
  <c r="B20" i="47541"/>
  <c r="B19" i="47541"/>
  <c r="B18" i="47541"/>
  <c r="B17" i="47541"/>
  <c r="B16" i="47541"/>
  <c r="B15" i="47541"/>
  <c r="B14" i="47541"/>
  <c r="B13" i="47541"/>
  <c r="B12" i="47541"/>
  <c r="B11" i="47541"/>
  <c r="B10" i="47541"/>
  <c r="B9" i="47541"/>
  <c r="B8" i="47541"/>
  <c r="B7" i="47541"/>
  <c r="B6" i="47541"/>
  <c r="B5" i="47541"/>
  <c r="B4" i="47541"/>
  <c r="B3" i="47541"/>
  <c r="O5" i="47541" l="1"/>
  <c r="N5" i="47541"/>
  <c r="B8" i="47540" s="1"/>
  <c r="I5" i="47540" l="1"/>
  <c r="E13" i="47540" a="1"/>
  <c r="D13" i="47540" a="1"/>
  <c r="B13" i="47540" a="1"/>
  <c r="F13" i="47540" a="1"/>
  <c r="I13" i="47540" a="1"/>
  <c r="G13" i="47540" a="1"/>
  <c r="A13" i="47540" a="1"/>
  <c r="H13" i="47540" a="1"/>
  <c r="C13" i="47540" a="1"/>
  <c r="E16" i="47540" l="1"/>
  <c r="E112" i="47540"/>
  <c r="E208" i="47540"/>
  <c r="E304" i="47540"/>
  <c r="E400" i="47540"/>
  <c r="E496" i="47540"/>
  <c r="E592" i="47540"/>
  <c r="E688" i="47540"/>
  <c r="E784" i="47540"/>
  <c r="E880" i="47540"/>
  <c r="E976" i="47540"/>
  <c r="E977" i="47540"/>
  <c r="E23" i="47540"/>
  <c r="E151" i="47540"/>
  <c r="E279" i="47540"/>
  <c r="E407" i="47540"/>
  <c r="E535" i="47540"/>
  <c r="E663" i="47540"/>
  <c r="E791" i="47540"/>
  <c r="E919" i="47540"/>
  <c r="E1044" i="47540"/>
  <c r="E1140" i="47540"/>
  <c r="E1236" i="47540"/>
  <c r="E1332" i="47540"/>
  <c r="E1428" i="47540"/>
  <c r="E113" i="47540"/>
  <c r="E241" i="47540"/>
  <c r="E374" i="47540"/>
  <c r="E507" i="47540"/>
  <c r="E641" i="47540"/>
  <c r="E779" i="47540"/>
  <c r="E918" i="47540"/>
  <c r="E1063" i="47540"/>
  <c r="E1219" i="47540"/>
  <c r="E1018" i="47540"/>
  <c r="E1361" i="47540"/>
  <c r="E185" i="47540"/>
  <c r="E441" i="47540"/>
  <c r="E697" i="47540"/>
  <c r="E953" i="47540"/>
  <c r="E1165" i="47540"/>
  <c r="E1322" i="47540"/>
  <c r="E1450" i="47540"/>
  <c r="E266" i="47540"/>
  <c r="E522" i="47540"/>
  <c r="E778" i="47540"/>
  <c r="E1034" i="47540"/>
  <c r="E1226" i="47540"/>
  <c r="E1363" i="47540"/>
  <c r="E94" i="47540"/>
  <c r="E350" i="47540"/>
  <c r="E606" i="47540"/>
  <c r="E862" i="47540"/>
  <c r="E1097" i="47540"/>
  <c r="E1277" i="47540"/>
  <c r="E1405" i="47540"/>
  <c r="E186" i="47540"/>
  <c r="E442" i="47540"/>
  <c r="E762" i="47540"/>
  <c r="E1198" i="47540"/>
  <c r="E197" i="47540"/>
  <c r="E783" i="47540"/>
  <c r="E1214" i="47540"/>
  <c r="E24" i="47540"/>
  <c r="E216" i="47540"/>
  <c r="E312" i="47540"/>
  <c r="E408" i="47540"/>
  <c r="E504" i="47540"/>
  <c r="E600" i="47540"/>
  <c r="E696" i="47540"/>
  <c r="E792" i="47540"/>
  <c r="E888" i="47540"/>
  <c r="E984" i="47540"/>
  <c r="E1043" i="47540"/>
  <c r="E162" i="47540"/>
  <c r="E290" i="47540"/>
  <c r="E418" i="47540"/>
  <c r="E546" i="47540"/>
  <c r="E802" i="47540"/>
  <c r="E930" i="47540"/>
  <c r="E1148" i="47540"/>
  <c r="E1340" i="47540"/>
  <c r="E123" i="47540"/>
  <c r="E385" i="47540"/>
  <c r="E20" i="47540"/>
  <c r="E116" i="47540"/>
  <c r="E212" i="47540"/>
  <c r="E308" i="47540"/>
  <c r="E404" i="47540"/>
  <c r="E500" i="47540"/>
  <c r="E596" i="47540"/>
  <c r="E692" i="47540"/>
  <c r="E788" i="47540"/>
  <c r="E884" i="47540"/>
  <c r="E980" i="47540"/>
  <c r="E1014" i="47540"/>
  <c r="E29" i="47540"/>
  <c r="E157" i="47540"/>
  <c r="E285" i="47540"/>
  <c r="E413" i="47540"/>
  <c r="E541" i="47540"/>
  <c r="E669" i="47540"/>
  <c r="E797" i="47540"/>
  <c r="E925" i="47540"/>
  <c r="E1048" i="47540"/>
  <c r="E1144" i="47540"/>
  <c r="E1240" i="47540"/>
  <c r="E1336" i="47540"/>
  <c r="E1432" i="47540"/>
  <c r="E118" i="47540"/>
  <c r="E246" i="47540"/>
  <c r="E379" i="47540"/>
  <c r="E513" i="47540"/>
  <c r="E646" i="47540"/>
  <c r="E785" i="47540"/>
  <c r="E923" i="47540"/>
  <c r="E1067" i="47540"/>
  <c r="E1223" i="47540"/>
  <c r="E1038" i="47540"/>
  <c r="E1371" i="47540"/>
  <c r="E195" i="47540"/>
  <c r="E451" i="47540"/>
  <c r="E707" i="47540"/>
  <c r="E963" i="47540"/>
  <c r="E1173" i="47540"/>
  <c r="E1327" i="47540"/>
  <c r="E21" i="47540"/>
  <c r="E277" i="47540"/>
  <c r="E533" i="47540"/>
  <c r="E789" i="47540"/>
  <c r="E1042" i="47540"/>
  <c r="E1234" i="47540"/>
  <c r="E1369" i="47540"/>
  <c r="E105" i="47540"/>
  <c r="E361" i="47540"/>
  <c r="E617" i="47540"/>
  <c r="E873" i="47540"/>
  <c r="E1105" i="47540"/>
  <c r="E1282" i="47540"/>
  <c r="E1410" i="47540"/>
  <c r="E453" i="47540"/>
  <c r="E120" i="47540"/>
  <c r="E34" i="47540"/>
  <c r="E674" i="47540"/>
  <c r="E1052" i="47540"/>
  <c r="E1244" i="47540"/>
  <c r="E1436" i="47540"/>
  <c r="E251" i="47540"/>
  <c r="E32" i="47540"/>
  <c r="E128" i="47540"/>
  <c r="E224" i="47540"/>
  <c r="E320" i="47540"/>
  <c r="E416" i="47540"/>
  <c r="E512" i="47540"/>
  <c r="E608" i="47540"/>
  <c r="E704" i="47540"/>
  <c r="E800" i="47540"/>
  <c r="E896" i="47540"/>
  <c r="E992" i="47540"/>
  <c r="E1071" i="47540"/>
  <c r="E45" i="47540"/>
  <c r="E173" i="47540"/>
  <c r="E301" i="47540"/>
  <c r="E429" i="47540"/>
  <c r="E557" i="47540"/>
  <c r="E685" i="47540"/>
  <c r="E813" i="47540"/>
  <c r="E941" i="47540"/>
  <c r="E1060" i="47540"/>
  <c r="E1156" i="47540"/>
  <c r="E1252" i="47540"/>
  <c r="E1348" i="47540"/>
  <c r="E1444" i="47540"/>
  <c r="E134" i="47540"/>
  <c r="E267" i="47540"/>
  <c r="E395" i="47540"/>
  <c r="E529" i="47540"/>
  <c r="E662" i="47540"/>
  <c r="E801" i="47540"/>
  <c r="E945" i="47540"/>
  <c r="E1087" i="47540"/>
  <c r="E1243" i="47540"/>
  <c r="E1086" i="47540"/>
  <c r="E1409" i="47540"/>
  <c r="E227" i="47540"/>
  <c r="E483" i="47540"/>
  <c r="E739" i="47540"/>
  <c r="E995" i="47540"/>
  <c r="E1197" i="47540"/>
  <c r="E1343" i="47540"/>
  <c r="E53" i="47540"/>
  <c r="E309" i="47540"/>
  <c r="E565" i="47540"/>
  <c r="E821" i="47540"/>
  <c r="E1066" i="47540"/>
  <c r="E1257" i="47540"/>
  <c r="E1385" i="47540"/>
  <c r="E137" i="47540"/>
  <c r="E393" i="47540"/>
  <c r="E649" i="47540"/>
  <c r="E905" i="47540"/>
  <c r="E1129" i="47540"/>
  <c r="E1298" i="47540"/>
  <c r="E1426" i="47540"/>
  <c r="E229" i="47540"/>
  <c r="E485" i="47540"/>
  <c r="E847" i="47540"/>
  <c r="E1254" i="47540"/>
  <c r="E36" i="47540"/>
  <c r="E132" i="47540"/>
  <c r="E228" i="47540"/>
  <c r="E324" i="47540"/>
  <c r="E420" i="47540"/>
  <c r="E516" i="47540"/>
  <c r="E612" i="47540"/>
  <c r="E708" i="47540"/>
  <c r="E804" i="47540"/>
  <c r="E900" i="47540"/>
  <c r="E996" i="47540"/>
  <c r="E1079" i="47540"/>
  <c r="E50" i="47540"/>
  <c r="E178" i="47540"/>
  <c r="E306" i="47540"/>
  <c r="E434" i="47540"/>
  <c r="E562" i="47540"/>
  <c r="E690" i="47540"/>
  <c r="E818" i="47540"/>
  <c r="E946" i="47540"/>
  <c r="E1064" i="47540"/>
  <c r="E1160" i="47540"/>
  <c r="E1256" i="47540"/>
  <c r="E1352" i="47540"/>
  <c r="E1448" i="47540"/>
  <c r="E52" i="47540"/>
  <c r="E148" i="47540"/>
  <c r="E244" i="47540"/>
  <c r="E340" i="47540"/>
  <c r="E436" i="47540"/>
  <c r="E532" i="47540"/>
  <c r="E628" i="47540"/>
  <c r="E724" i="47540"/>
  <c r="E820" i="47540"/>
  <c r="E916" i="47540"/>
  <c r="E1012" i="47540"/>
  <c r="E1123" i="47540"/>
  <c r="E71" i="47540"/>
  <c r="E199" i="47540"/>
  <c r="E327" i="47540"/>
  <c r="E455" i="47540"/>
  <c r="E583" i="47540"/>
  <c r="E711" i="47540"/>
  <c r="E839" i="47540"/>
  <c r="E967" i="47540"/>
  <c r="E1080" i="47540"/>
  <c r="E1176" i="47540"/>
  <c r="E1272" i="47540"/>
  <c r="E1368" i="47540"/>
  <c r="E27" i="47540"/>
  <c r="E161" i="47540"/>
  <c r="E294" i="47540"/>
  <c r="E422" i="47540"/>
  <c r="E555" i="47540"/>
  <c r="E694" i="47540"/>
  <c r="E833" i="47540"/>
  <c r="E971" i="47540"/>
  <c r="E1119" i="47540"/>
  <c r="E666" i="47540"/>
  <c r="E1174" i="47540"/>
  <c r="E25" i="47540"/>
  <c r="E281" i="47540"/>
  <c r="E537" i="47540"/>
  <c r="E793" i="47540"/>
  <c r="E1045" i="47540"/>
  <c r="E1237" i="47540"/>
  <c r="E1370" i="47540"/>
  <c r="E106" i="47540"/>
  <c r="E362" i="47540"/>
  <c r="E618" i="47540"/>
  <c r="E874" i="47540"/>
  <c r="E1106" i="47540"/>
  <c r="E1283" i="47540"/>
  <c r="E1411" i="47540"/>
  <c r="E190" i="47540"/>
  <c r="E446" i="47540"/>
  <c r="E702" i="47540"/>
  <c r="E958" i="47540"/>
  <c r="E1169" i="47540"/>
  <c r="E1325" i="47540"/>
  <c r="E15" i="47540"/>
  <c r="E282" i="47540"/>
  <c r="E549" i="47540"/>
  <c r="E943" i="47540"/>
  <c r="E1307" i="47540"/>
  <c r="E28" i="47540"/>
  <c r="E160" i="47540"/>
  <c r="E280" i="47540"/>
  <c r="E412" i="47540"/>
  <c r="E544" i="47540"/>
  <c r="E664" i="47540"/>
  <c r="E796" i="47540"/>
  <c r="E928" i="47540"/>
  <c r="E582" i="47540"/>
  <c r="E39" i="47540"/>
  <c r="E215" i="47540"/>
  <c r="E375" i="47540"/>
  <c r="E551" i="47540"/>
  <c r="E727" i="47540"/>
  <c r="E887" i="47540"/>
  <c r="E1056" i="47540"/>
  <c r="E1188" i="47540"/>
  <c r="E1308" i="47540"/>
  <c r="E1440" i="47540"/>
  <c r="E171" i="47540"/>
  <c r="E331" i="47540"/>
  <c r="E491" i="47540"/>
  <c r="E657" i="47540"/>
  <c r="E827" i="47540"/>
  <c r="E998" i="47540"/>
  <c r="E1167" i="47540"/>
  <c r="E954" i="47540"/>
  <c r="E1393" i="47540"/>
  <c r="E270" i="47540"/>
  <c r="E579" i="47540"/>
  <c r="E878" i="47540"/>
  <c r="E1141" i="47540"/>
  <c r="E1338" i="47540"/>
  <c r="E95" i="47540"/>
  <c r="E405" i="47540"/>
  <c r="E703" i="47540"/>
  <c r="E1002" i="47540"/>
  <c r="E1250" i="47540"/>
  <c r="E1406" i="47540"/>
  <c r="E233" i="47540"/>
  <c r="E531" i="47540"/>
  <c r="E830" i="47540"/>
  <c r="E1121" i="47540"/>
  <c r="E1319" i="47540"/>
  <c r="E69" i="47540"/>
  <c r="E367" i="47540"/>
  <c r="E709" i="47540"/>
  <c r="E1246" i="47540"/>
  <c r="E1074" i="47540"/>
  <c r="E915" i="47540"/>
  <c r="E1351" i="47540"/>
  <c r="E869" i="47540"/>
  <c r="E64" i="47540"/>
  <c r="E700" i="47540"/>
  <c r="E1059" i="47540"/>
  <c r="E599" i="47540"/>
  <c r="E935" i="47540"/>
  <c r="E43" i="47540"/>
  <c r="E705" i="47540"/>
  <c r="E40" i="47540"/>
  <c r="E164" i="47540"/>
  <c r="E284" i="47540"/>
  <c r="E424" i="47540"/>
  <c r="E548" i="47540"/>
  <c r="E668" i="47540"/>
  <c r="E808" i="47540"/>
  <c r="E932" i="47540"/>
  <c r="E683" i="47540"/>
  <c r="E55" i="47540"/>
  <c r="E221" i="47540"/>
  <c r="E381" i="47540"/>
  <c r="E567" i="47540"/>
  <c r="E733" i="47540"/>
  <c r="E893" i="47540"/>
  <c r="E1068" i="47540"/>
  <c r="E1192" i="47540"/>
  <c r="E1312" i="47540"/>
  <c r="E1452" i="47540"/>
  <c r="E177" i="47540"/>
  <c r="E337" i="47540"/>
  <c r="E497" i="47540"/>
  <c r="E667" i="47540"/>
  <c r="E838" i="47540"/>
  <c r="E1003" i="47540"/>
  <c r="E1175" i="47540"/>
  <c r="E975" i="47540"/>
  <c r="E1419" i="47540"/>
  <c r="E291" i="47540"/>
  <c r="E590" i="47540"/>
  <c r="E889" i="47540"/>
  <c r="E1149" i="47540"/>
  <c r="E1349" i="47540"/>
  <c r="E117" i="47540"/>
  <c r="E415" i="47540"/>
  <c r="E714" i="47540"/>
  <c r="E1013" i="47540"/>
  <c r="E1262" i="47540"/>
  <c r="E1417" i="47540"/>
  <c r="E243" i="47540"/>
  <c r="E542" i="47540"/>
  <c r="E841" i="47540"/>
  <c r="E1137" i="47540"/>
  <c r="E1330" i="47540"/>
  <c r="E79" i="47540"/>
  <c r="E378" i="47540"/>
  <c r="E730" i="47540"/>
  <c r="E1265" i="47540"/>
  <c r="E676" i="47540"/>
  <c r="E578" i="47540"/>
  <c r="E1076" i="47540"/>
  <c r="E1320" i="47540"/>
  <c r="E187" i="47540"/>
  <c r="E678" i="47540"/>
  <c r="E1191" i="47540"/>
  <c r="E313" i="47540"/>
  <c r="E1181" i="47540"/>
  <c r="E437" i="47540"/>
  <c r="E1050" i="47540"/>
  <c r="E1427" i="47540"/>
  <c r="E563" i="47540"/>
  <c r="E1153" i="47540"/>
  <c r="E101" i="47540"/>
  <c r="E805" i="47540"/>
  <c r="E159" i="47540"/>
  <c r="E286" i="47540"/>
  <c r="E122" i="47540"/>
  <c r="E316" i="47540"/>
  <c r="E87" i="47540"/>
  <c r="E1092" i="47540"/>
  <c r="E203" i="47540"/>
  <c r="E865" i="47540"/>
  <c r="E44" i="47540"/>
  <c r="E168" i="47540"/>
  <c r="E288" i="47540"/>
  <c r="E428" i="47540"/>
  <c r="E552" i="47540"/>
  <c r="E672" i="47540"/>
  <c r="E812" i="47540"/>
  <c r="E936" i="47540"/>
  <c r="E753" i="47540"/>
  <c r="E61" i="47540"/>
  <c r="E226" i="47540"/>
  <c r="E386" i="47540"/>
  <c r="E573" i="47540"/>
  <c r="E738" i="47540"/>
  <c r="E898" i="47540"/>
  <c r="E1072" i="47540"/>
  <c r="E1196" i="47540"/>
  <c r="E1316" i="47540"/>
  <c r="E17" i="47540"/>
  <c r="E182" i="47540"/>
  <c r="E342" i="47540"/>
  <c r="E502" i="47540"/>
  <c r="E673" i="47540"/>
  <c r="E843" i="47540"/>
  <c r="E1009" i="47540"/>
  <c r="E1183" i="47540"/>
  <c r="E997" i="47540"/>
  <c r="E1430" i="47540"/>
  <c r="E302" i="47540"/>
  <c r="E601" i="47540"/>
  <c r="E899" i="47540"/>
  <c r="E1157" i="47540"/>
  <c r="E1354" i="47540"/>
  <c r="E127" i="47540"/>
  <c r="E426" i="47540"/>
  <c r="E725" i="47540"/>
  <c r="E1023" i="47540"/>
  <c r="E1267" i="47540"/>
  <c r="E1422" i="47540"/>
  <c r="E254" i="47540"/>
  <c r="E553" i="47540"/>
  <c r="E851" i="47540"/>
  <c r="E1145" i="47540"/>
  <c r="E1335" i="47540"/>
  <c r="E90" i="47540"/>
  <c r="E389" i="47540"/>
  <c r="E741" i="47540"/>
  <c r="E1275" i="47540"/>
  <c r="E556" i="47540"/>
  <c r="E816" i="47540"/>
  <c r="E940" i="47540"/>
  <c r="E817" i="47540"/>
  <c r="E66" i="47540"/>
  <c r="E231" i="47540"/>
  <c r="E391" i="47540"/>
  <c r="E743" i="47540"/>
  <c r="E903" i="47540"/>
  <c r="E1200" i="47540"/>
  <c r="E22" i="47540"/>
  <c r="E347" i="47540"/>
  <c r="E518" i="47540"/>
  <c r="E849" i="47540"/>
  <c r="E1019" i="47540"/>
  <c r="E1054" i="47540"/>
  <c r="E1441" i="47540"/>
  <c r="E611" i="47540"/>
  <c r="E910" i="47540"/>
  <c r="E1359" i="47540"/>
  <c r="E138" i="47540"/>
  <c r="E735" i="47540"/>
  <c r="E1273" i="47540"/>
  <c r="E265" i="47540"/>
  <c r="E883" i="47540"/>
  <c r="E1341" i="47540"/>
  <c r="E399" i="47540"/>
  <c r="E1286" i="47540"/>
  <c r="E458" i="47540"/>
  <c r="E1438" i="47540"/>
  <c r="E1177" i="47540"/>
  <c r="E1318" i="47540"/>
  <c r="E184" i="47540"/>
  <c r="E832" i="47540"/>
  <c r="E247" i="47540"/>
  <c r="E759" i="47540"/>
  <c r="E1344" i="47540"/>
  <c r="E48" i="47540"/>
  <c r="E172" i="47540"/>
  <c r="E292" i="47540"/>
  <c r="E56" i="47540"/>
  <c r="E176" i="47540"/>
  <c r="E296" i="47540"/>
  <c r="E440" i="47540"/>
  <c r="E560" i="47540"/>
  <c r="E680" i="47540"/>
  <c r="E824" i="47540"/>
  <c r="E944" i="47540"/>
  <c r="E875" i="47540"/>
  <c r="E77" i="47540"/>
  <c r="E237" i="47540"/>
  <c r="E397" i="47540"/>
  <c r="E589" i="47540"/>
  <c r="E749" i="47540"/>
  <c r="E909" i="47540"/>
  <c r="E1084" i="47540"/>
  <c r="E1204" i="47540"/>
  <c r="E1324" i="47540"/>
  <c r="E33" i="47540"/>
  <c r="E193" i="47540"/>
  <c r="E353" i="47540"/>
  <c r="E523" i="47540"/>
  <c r="E689" i="47540"/>
  <c r="E854" i="47540"/>
  <c r="E1025" i="47540"/>
  <c r="E1199" i="47540"/>
  <c r="E1070" i="47540"/>
  <c r="E14" i="47540"/>
  <c r="E323" i="47540"/>
  <c r="E622" i="47540"/>
  <c r="E921" i="47540"/>
  <c r="E1189" i="47540"/>
  <c r="E1365" i="47540"/>
  <c r="E149" i="47540"/>
  <c r="E447" i="47540"/>
  <c r="E746" i="47540"/>
  <c r="E1058" i="47540"/>
  <c r="E1278" i="47540"/>
  <c r="E1433" i="47540"/>
  <c r="E275" i="47540"/>
  <c r="E574" i="47540"/>
  <c r="E894" i="47540"/>
  <c r="E1161" i="47540"/>
  <c r="E1346" i="47540"/>
  <c r="E111" i="47540"/>
  <c r="E410" i="47540"/>
  <c r="E826" i="47540"/>
  <c r="E1297" i="47540"/>
  <c r="E60" i="47540"/>
  <c r="E180" i="47540"/>
  <c r="E300" i="47540"/>
  <c r="E444" i="47540"/>
  <c r="E684" i="47540"/>
  <c r="E828" i="47540"/>
  <c r="E948" i="47540"/>
  <c r="E929" i="47540"/>
  <c r="E82" i="47540"/>
  <c r="E242" i="47540"/>
  <c r="E402" i="47540"/>
  <c r="E594" i="47540"/>
  <c r="E754" i="47540"/>
  <c r="E914" i="47540"/>
  <c r="E1088" i="47540"/>
  <c r="E1208" i="47540"/>
  <c r="E1328" i="47540"/>
  <c r="E38" i="47540"/>
  <c r="E198" i="47540"/>
  <c r="E358" i="47540"/>
  <c r="E534" i="47540"/>
  <c r="E699" i="47540"/>
  <c r="E859" i="47540"/>
  <c r="E1030" i="47540"/>
  <c r="E1203" i="47540"/>
  <c r="E1102" i="47540"/>
  <c r="E35" i="47540"/>
  <c r="E334" i="47540"/>
  <c r="E931" i="47540"/>
  <c r="E1205" i="47540"/>
  <c r="E1375" i="47540"/>
  <c r="E757" i="47540"/>
  <c r="E1289" i="47540"/>
  <c r="E585" i="47540"/>
  <c r="E421" i="47540"/>
  <c r="E448" i="47540"/>
  <c r="E952" i="47540"/>
  <c r="E423" i="47540"/>
  <c r="E1212" i="47540"/>
  <c r="E363" i="47540"/>
  <c r="E1035" i="47540"/>
  <c r="E564" i="47540"/>
  <c r="E633" i="47540"/>
  <c r="E68" i="47540"/>
  <c r="E236" i="47540"/>
  <c r="E388" i="47540"/>
  <c r="E580" i="47540"/>
  <c r="E752" i="47540"/>
  <c r="E924" i="47540"/>
  <c r="E1171" i="47540"/>
  <c r="E189" i="47540"/>
  <c r="E461" i="47540"/>
  <c r="E658" i="47540"/>
  <c r="E951" i="47540"/>
  <c r="E1124" i="47540"/>
  <c r="E1296" i="47540"/>
  <c r="E75" i="47540"/>
  <c r="E299" i="47540"/>
  <c r="E545" i="47540"/>
  <c r="E747" i="47540"/>
  <c r="E982" i="47540"/>
  <c r="E26" i="47540"/>
  <c r="E1291" i="47540"/>
  <c r="E249" i="47540"/>
  <c r="E686" i="47540"/>
  <c r="E1077" i="47540"/>
  <c r="E1317" i="47540"/>
  <c r="E213" i="47540"/>
  <c r="E607" i="47540"/>
  <c r="E981" i="47540"/>
  <c r="E1315" i="47540"/>
  <c r="E126" i="47540"/>
  <c r="E510" i="47540"/>
  <c r="E979" i="47540"/>
  <c r="E1261" i="47540"/>
  <c r="E47" i="47540"/>
  <c r="E517" i="47540"/>
  <c r="E1094" i="47540"/>
  <c r="E432" i="47540"/>
  <c r="E973" i="47540"/>
  <c r="E769" i="47540"/>
  <c r="E750" i="47540"/>
  <c r="E650" i="47540"/>
  <c r="E169" i="47540"/>
  <c r="E143" i="47540"/>
  <c r="E452" i="47540"/>
  <c r="E968" i="47540"/>
  <c r="E482" i="47540"/>
  <c r="E1152" i="47540"/>
  <c r="E321" i="47540"/>
  <c r="E1047" i="47540"/>
  <c r="E366" i="47540"/>
  <c r="E1391" i="47540"/>
  <c r="E1098" i="47540"/>
  <c r="E638" i="47540"/>
  <c r="E154" i="47540"/>
  <c r="E88" i="47540"/>
  <c r="E1215" i="47540"/>
  <c r="E1164" i="47540"/>
  <c r="E1051" i="47540"/>
  <c r="E1397" i="47540"/>
  <c r="E201" i="47540"/>
  <c r="E1166" i="47540"/>
  <c r="E624" i="47540"/>
  <c r="E795" i="47540"/>
  <c r="E682" i="47540"/>
  <c r="E1182" i="47540"/>
  <c r="E464" i="47540"/>
  <c r="E1133" i="47540"/>
  <c r="E468" i="47540"/>
  <c r="E72" i="47540"/>
  <c r="E240" i="47540"/>
  <c r="E392" i="47540"/>
  <c r="E584" i="47540"/>
  <c r="E756" i="47540"/>
  <c r="E956" i="47540"/>
  <c r="E1179" i="47540"/>
  <c r="E194" i="47540"/>
  <c r="E466" i="47540"/>
  <c r="E679" i="47540"/>
  <c r="E957" i="47540"/>
  <c r="E1128" i="47540"/>
  <c r="E1300" i="47540"/>
  <c r="E81" i="47540"/>
  <c r="E305" i="47540"/>
  <c r="E550" i="47540"/>
  <c r="E758" i="47540"/>
  <c r="E987" i="47540"/>
  <c r="E506" i="47540"/>
  <c r="E1302" i="47540"/>
  <c r="E259" i="47540"/>
  <c r="E718" i="47540"/>
  <c r="E1085" i="47540"/>
  <c r="E1333" i="47540"/>
  <c r="E223" i="47540"/>
  <c r="E629" i="47540"/>
  <c r="E991" i="47540"/>
  <c r="E1321" i="47540"/>
  <c r="E147" i="47540"/>
  <c r="E521" i="47540"/>
  <c r="E990" i="47540"/>
  <c r="E1266" i="47540"/>
  <c r="E58" i="47540"/>
  <c r="E527" i="47540"/>
  <c r="E1110" i="47540"/>
  <c r="E252" i="47540"/>
  <c r="E604" i="47540"/>
  <c r="E964" i="47540"/>
  <c r="E210" i="47540"/>
  <c r="E701" i="47540"/>
  <c r="E1136" i="47540"/>
  <c r="E91" i="47540"/>
  <c r="E566" i="47540"/>
  <c r="E687" i="47540"/>
  <c r="E355" i="47540"/>
  <c r="E1386" i="47540"/>
  <c r="E1090" i="47540"/>
  <c r="E627" i="47540"/>
  <c r="E1287" i="47540"/>
  <c r="E1134" i="47540"/>
  <c r="E256" i="47540"/>
  <c r="E768" i="47540"/>
  <c r="E253" i="47540"/>
  <c r="E978" i="47540"/>
  <c r="E97" i="47540"/>
  <c r="E774" i="47540"/>
  <c r="E1334" i="47540"/>
  <c r="E1109" i="47540"/>
  <c r="E661" i="47540"/>
  <c r="E179" i="47540"/>
  <c r="E1293" i="47540"/>
  <c r="E1150" i="47540"/>
  <c r="E456" i="47540"/>
  <c r="E772" i="47540"/>
  <c r="E258" i="47540"/>
  <c r="E717" i="47540"/>
  <c r="E102" i="47540"/>
  <c r="E790" i="47540"/>
  <c r="E377" i="47540"/>
  <c r="E671" i="47540"/>
  <c r="E659" i="47540"/>
  <c r="E264" i="47540"/>
  <c r="E587" i="47540"/>
  <c r="E298" i="47540"/>
  <c r="E175" i="47540"/>
  <c r="E632" i="47540"/>
  <c r="E803" i="47540"/>
  <c r="E602" i="47540"/>
  <c r="E272" i="47540"/>
  <c r="E76" i="47540"/>
  <c r="E248" i="47540"/>
  <c r="E396" i="47540"/>
  <c r="E588" i="47540"/>
  <c r="E760" i="47540"/>
  <c r="E960" i="47540"/>
  <c r="E1187" i="47540"/>
  <c r="E205" i="47540"/>
  <c r="E471" i="47540"/>
  <c r="E695" i="47540"/>
  <c r="E962" i="47540"/>
  <c r="E1132" i="47540"/>
  <c r="E1304" i="47540"/>
  <c r="E86" i="47540"/>
  <c r="E310" i="47540"/>
  <c r="E561" i="47540"/>
  <c r="E763" i="47540"/>
  <c r="E993" i="47540"/>
  <c r="E613" i="47540"/>
  <c r="E1313" i="47540"/>
  <c r="E345" i="47540"/>
  <c r="E729" i="47540"/>
  <c r="E1093" i="47540"/>
  <c r="E1381" i="47540"/>
  <c r="E234" i="47540"/>
  <c r="E639" i="47540"/>
  <c r="E1082" i="47540"/>
  <c r="E1326" i="47540"/>
  <c r="E158" i="47540"/>
  <c r="E595" i="47540"/>
  <c r="E1001" i="47540"/>
  <c r="E1271" i="47540"/>
  <c r="E133" i="47540"/>
  <c r="E538" i="47540"/>
  <c r="E1126" i="47540"/>
  <c r="E80" i="47540"/>
  <c r="E764" i="47540"/>
  <c r="E1195" i="47540"/>
  <c r="E477" i="47540"/>
  <c r="E1356" i="47540"/>
  <c r="E315" i="47540"/>
  <c r="E1039" i="47540"/>
  <c r="E1323" i="47540"/>
  <c r="E1101" i="47540"/>
  <c r="E245" i="47540"/>
  <c r="E1331" i="47540"/>
  <c r="E1011" i="47540"/>
  <c r="E559" i="47540"/>
  <c r="E84" i="47540"/>
  <c r="E616" i="47540"/>
  <c r="E1207" i="47540"/>
  <c r="E706" i="47540"/>
  <c r="E1360" i="47540"/>
  <c r="E571" i="47540"/>
  <c r="E719" i="47540"/>
  <c r="E761" i="47540"/>
  <c r="E255" i="47540"/>
  <c r="E1337" i="47540"/>
  <c r="E1022" i="47540"/>
  <c r="E570" i="47540"/>
  <c r="E260" i="47540"/>
  <c r="E972" i="47540"/>
  <c r="E487" i="47540"/>
  <c r="E1364" i="47540"/>
  <c r="E326" i="47540"/>
  <c r="E751" i="47540"/>
  <c r="E1117" i="47540"/>
  <c r="E1114" i="47540"/>
  <c r="E1303" i="47540"/>
  <c r="E460" i="47540"/>
  <c r="E107" i="47540"/>
  <c r="E782" i="47540"/>
  <c r="E211" i="47540"/>
  <c r="E620" i="47540"/>
  <c r="E983" i="47540"/>
  <c r="E577" i="47540"/>
  <c r="E1345" i="47540"/>
  <c r="E771" i="47540"/>
  <c r="E287" i="47540"/>
  <c r="E1342" i="47540"/>
  <c r="E1033" i="47540"/>
  <c r="E165" i="47540"/>
  <c r="E581" i="47540"/>
  <c r="E92" i="47540"/>
  <c r="E776" i="47540"/>
  <c r="E988" i="47540"/>
  <c r="E1227" i="47540"/>
  <c r="E263" i="47540"/>
  <c r="E493" i="47540"/>
  <c r="E722" i="47540"/>
  <c r="E989" i="47540"/>
  <c r="E1168" i="47540"/>
  <c r="E1372" i="47540"/>
  <c r="E369" i="47540"/>
  <c r="E1055" i="47540"/>
  <c r="E773" i="47540"/>
  <c r="E1350" i="47540"/>
  <c r="E387" i="47540"/>
  <c r="E1125" i="47540"/>
  <c r="E1402" i="47540"/>
  <c r="E1122" i="47540"/>
  <c r="E1347" i="47540"/>
  <c r="E670" i="47540"/>
  <c r="E1041" i="47540"/>
  <c r="E1309" i="47540"/>
  <c r="E591" i="47540"/>
  <c r="E96" i="47540"/>
  <c r="E780" i="47540"/>
  <c r="E1000" i="47540"/>
  <c r="E1239" i="47540"/>
  <c r="E269" i="47540"/>
  <c r="E498" i="47540"/>
  <c r="E765" i="47540"/>
  <c r="E994" i="47540"/>
  <c r="E1172" i="47540"/>
  <c r="E1376" i="47540"/>
  <c r="E129" i="47540"/>
  <c r="E390" i="47540"/>
  <c r="E593" i="47540"/>
  <c r="E806" i="47540"/>
  <c r="E1075" i="47540"/>
  <c r="E794" i="47540"/>
  <c r="E1382" i="47540"/>
  <c r="E398" i="47540"/>
  <c r="E1407" i="47540"/>
  <c r="E319" i="47540"/>
  <c r="E693" i="47540"/>
  <c r="E1130" i="47540"/>
  <c r="E1353" i="47540"/>
  <c r="E222" i="47540"/>
  <c r="E681" i="47540"/>
  <c r="E1049" i="47540"/>
  <c r="E1314" i="47540"/>
  <c r="E207" i="47540"/>
  <c r="E1230" i="47540"/>
  <c r="E100" i="47540"/>
  <c r="E636" i="47540"/>
  <c r="E836" i="47540"/>
  <c r="E1004" i="47540"/>
  <c r="E1251" i="47540"/>
  <c r="E274" i="47540"/>
  <c r="E503" i="47540"/>
  <c r="E770" i="47540"/>
  <c r="E999" i="47540"/>
  <c r="E1180" i="47540"/>
  <c r="E1380" i="47540"/>
  <c r="E139" i="47540"/>
  <c r="E401" i="47540"/>
  <c r="E598" i="47540"/>
  <c r="E811" i="47540"/>
  <c r="E1083" i="47540"/>
  <c r="E815" i="47540"/>
  <c r="E46" i="47540"/>
  <c r="E409" i="47540"/>
  <c r="E814" i="47540"/>
  <c r="E1213" i="47540"/>
  <c r="E1413" i="47540"/>
  <c r="E1138" i="47540"/>
  <c r="E104" i="47540"/>
  <c r="E360" i="47540"/>
  <c r="E648" i="47540"/>
  <c r="E904" i="47540"/>
  <c r="E109" i="47540"/>
  <c r="E450" i="47540"/>
  <c r="E850" i="47540"/>
  <c r="E1220" i="47540"/>
  <c r="E49" i="47540"/>
  <c r="E443" i="47540"/>
  <c r="E742" i="47540"/>
  <c r="E1147" i="47540"/>
  <c r="E78" i="47540"/>
  <c r="E643" i="47540"/>
  <c r="E1263" i="47540"/>
  <c r="E202" i="47540"/>
  <c r="E885" i="47540"/>
  <c r="E1358" i="47540"/>
  <c r="E414" i="47540"/>
  <c r="E1057" i="47540"/>
  <c r="E1399" i="47540"/>
  <c r="E623" i="47540"/>
  <c r="E1414" i="47540"/>
  <c r="E372" i="47540"/>
  <c r="E519" i="47540"/>
  <c r="E1232" i="47540"/>
  <c r="E459" i="47540"/>
  <c r="E110" i="47540"/>
  <c r="E1279" i="47540"/>
  <c r="E1390" i="47540"/>
  <c r="E1431" i="47540"/>
  <c r="E1446" i="47540"/>
  <c r="E140" i="47540"/>
  <c r="E1008" i="47540"/>
  <c r="E130" i="47540"/>
  <c r="E525" i="47540"/>
  <c r="E871" i="47540"/>
  <c r="E1248" i="47540"/>
  <c r="E145" i="47540"/>
  <c r="E465" i="47540"/>
  <c r="E886" i="47540"/>
  <c r="E825" i="47540"/>
  <c r="E1285" i="47540"/>
  <c r="E373" i="47540"/>
  <c r="E927" i="47540"/>
  <c r="E1395" i="47540"/>
  <c r="E1089" i="47540"/>
  <c r="E1437" i="47540"/>
  <c r="E1451" i="47540"/>
  <c r="E144" i="47540"/>
  <c r="E1016" i="47540"/>
  <c r="E135" i="47540"/>
  <c r="E530" i="47540"/>
  <c r="E877" i="47540"/>
  <c r="E1260" i="47540"/>
  <c r="E150" i="47540"/>
  <c r="E470" i="47540"/>
  <c r="E891" i="47540"/>
  <c r="E1235" i="47540"/>
  <c r="E131" i="47540"/>
  <c r="E835" i="47540"/>
  <c r="E1290" i="47540"/>
  <c r="E383" i="47540"/>
  <c r="E938" i="47540"/>
  <c r="E478" i="47540"/>
  <c r="E1442" i="47540"/>
  <c r="E698" i="47540"/>
  <c r="E152" i="47540"/>
  <c r="E384" i="47540"/>
  <c r="E720" i="47540"/>
  <c r="E1020" i="47540"/>
  <c r="E141" i="47540"/>
  <c r="E1264" i="47540"/>
  <c r="E155" i="47540"/>
  <c r="E475" i="47540"/>
  <c r="E897" i="47540"/>
  <c r="E1247" i="47540"/>
  <c r="E142" i="47540"/>
  <c r="E846" i="47540"/>
  <c r="E1295" i="47540"/>
  <c r="E949" i="47540"/>
  <c r="E1185" i="47540"/>
  <c r="E890" i="47540"/>
  <c r="E156" i="47540"/>
  <c r="E146" i="47540"/>
  <c r="E108" i="47540"/>
  <c r="E364" i="47540"/>
  <c r="E652" i="47540"/>
  <c r="E908" i="47540"/>
  <c r="E114" i="47540"/>
  <c r="E509" i="47540"/>
  <c r="E855" i="47540"/>
  <c r="E1224" i="47540"/>
  <c r="E59" i="47540"/>
  <c r="E449" i="47540"/>
  <c r="E822" i="47540"/>
  <c r="E1155" i="47540"/>
  <c r="E89" i="47540"/>
  <c r="E654" i="47540"/>
  <c r="E1269" i="47540"/>
  <c r="E330" i="47540"/>
  <c r="E895" i="47540"/>
  <c r="E1374" i="47540"/>
  <c r="E425" i="47540"/>
  <c r="E1065" i="47540"/>
  <c r="E1415" i="47540"/>
  <c r="E634" i="47540"/>
  <c r="E1425" i="47540"/>
  <c r="E1073" i="47540"/>
  <c r="E645" i="47540"/>
  <c r="E1435" i="47540"/>
  <c r="E660" i="47540"/>
  <c r="E866" i="47540"/>
  <c r="E881" i="47540"/>
  <c r="E675" i="47540"/>
  <c r="E917" i="47540"/>
  <c r="E655" i="47540"/>
  <c r="E712" i="47540"/>
  <c r="E1231" i="47540"/>
  <c r="E467" i="47540"/>
  <c r="E380" i="47540"/>
  <c r="E1401" i="47540"/>
  <c r="E882" i="47540"/>
  <c r="E1443" i="47540"/>
  <c r="E124" i="47540"/>
  <c r="E368" i="47540"/>
  <c r="E656" i="47540"/>
  <c r="E912" i="47540"/>
  <c r="E119" i="47540"/>
  <c r="E514" i="47540"/>
  <c r="E861" i="47540"/>
  <c r="E1228" i="47540"/>
  <c r="E65" i="47540"/>
  <c r="E454" i="47540"/>
  <c r="E870" i="47540"/>
  <c r="E1159" i="47540"/>
  <c r="E99" i="47540"/>
  <c r="E665" i="47540"/>
  <c r="E1274" i="47540"/>
  <c r="E341" i="47540"/>
  <c r="E906" i="47540"/>
  <c r="E1379" i="47540"/>
  <c r="E435" i="47540"/>
  <c r="E1421" i="47540"/>
  <c r="E920" i="47540"/>
  <c r="E70" i="47540"/>
  <c r="E1211" i="47540"/>
  <c r="E351" i="47540"/>
  <c r="E1081" i="47540"/>
  <c r="E376" i="47540"/>
  <c r="E121" i="47540"/>
  <c r="E677" i="47540"/>
  <c r="E716" i="47540"/>
  <c r="E1113" i="47540"/>
  <c r="E605" i="47540"/>
  <c r="E489" i="47540"/>
  <c r="E136" i="47540"/>
  <c r="E125" i="47540"/>
  <c r="E457" i="47540"/>
  <c r="E394" i="47540"/>
  <c r="E1447" i="47540"/>
  <c r="E188" i="47540"/>
  <c r="E524" i="47540"/>
  <c r="E876" i="47540"/>
  <c r="E322" i="47540"/>
  <c r="E823" i="47540"/>
  <c r="E1284" i="47540"/>
  <c r="E283" i="47540"/>
  <c r="E902" i="47540"/>
  <c r="E1158" i="47540"/>
  <c r="E547" i="47540"/>
  <c r="E1423" i="47540"/>
  <c r="E799" i="47540"/>
  <c r="E19" i="47540"/>
  <c r="E777" i="47540"/>
  <c r="E1389" i="47540"/>
  <c r="E1029" i="47540"/>
  <c r="E569" i="47540"/>
  <c r="E798" i="47540"/>
  <c r="E200" i="47540"/>
  <c r="E343" i="47540"/>
  <c r="E1384" i="47540"/>
  <c r="E1222" i="47540"/>
  <c r="E1439" i="47540"/>
  <c r="E809" i="47540"/>
  <c r="E1392" i="47540"/>
  <c r="E942" i="47540"/>
  <c r="E926" i="47540"/>
  <c r="E576" i="47540"/>
  <c r="E1015" i="47540"/>
  <c r="E955" i="47540"/>
  <c r="E959" i="47540"/>
  <c r="E261" i="47540"/>
  <c r="E640" i="47540"/>
  <c r="E1021" i="47540"/>
  <c r="E1400" i="47540"/>
  <c r="E1281" i="47540"/>
  <c r="E970" i="47540"/>
  <c r="E271" i="47540"/>
  <c r="E276" i="47540"/>
  <c r="E1026" i="47540"/>
  <c r="E1404" i="47540"/>
  <c r="E57" i="47540"/>
  <c r="E1146" i="47540"/>
  <c r="E1377" i="47540"/>
  <c r="E328" i="47540"/>
  <c r="E1031" i="47540"/>
  <c r="E1095" i="47540"/>
  <c r="E1154" i="47540"/>
  <c r="E332" i="47540"/>
  <c r="E603" i="47540"/>
  <c r="E1162" i="47540"/>
  <c r="E336" i="47540"/>
  <c r="E1416" i="47540"/>
  <c r="E1037" i="47540"/>
  <c r="E329" i="47540"/>
  <c r="E325" i="47540"/>
  <c r="E344" i="47540"/>
  <c r="E1420" i="47540"/>
  <c r="E1115" i="47540"/>
  <c r="E1178" i="47540"/>
  <c r="E348" i="47540"/>
  <c r="E1424" i="47540"/>
  <c r="E469" i="47540"/>
  <c r="E346" i="47540"/>
  <c r="E352" i="47540"/>
  <c r="E166" i="47540"/>
  <c r="E479" i="47540"/>
  <c r="E356" i="47540"/>
  <c r="E209" i="47540"/>
  <c r="E1221" i="47540"/>
  <c r="E431" i="47540"/>
  <c r="E472" i="47540"/>
  <c r="E214" i="47540"/>
  <c r="E1229" i="47540"/>
  <c r="E463" i="47540"/>
  <c r="E476" i="47540"/>
  <c r="E219" i="47540"/>
  <c r="E430" i="47540"/>
  <c r="E1255" i="47540"/>
  <c r="E480" i="47540"/>
  <c r="E225" i="47540"/>
  <c r="E543" i="47540"/>
  <c r="E495" i="47540"/>
  <c r="E484" i="47540"/>
  <c r="E230" i="47540"/>
  <c r="E473" i="47540"/>
  <c r="E911" i="47540"/>
  <c r="E860" i="47540"/>
  <c r="E235" i="47540"/>
  <c r="E1299" i="47540"/>
  <c r="E492" i="47540"/>
  <c r="E257" i="47540"/>
  <c r="E1306" i="47540"/>
  <c r="E1373" i="47540"/>
  <c r="E868" i="47540"/>
  <c r="E273" i="47540"/>
  <c r="E515" i="47540"/>
  <c r="E755" i="47540"/>
  <c r="E520" i="47540"/>
  <c r="E278" i="47540"/>
  <c r="E1418" i="47540"/>
  <c r="E1383" i="47540"/>
  <c r="E192" i="47540"/>
  <c r="E528" i="47540"/>
  <c r="E892" i="47540"/>
  <c r="E333" i="47540"/>
  <c r="E829" i="47540"/>
  <c r="E1288" i="47540"/>
  <c r="E289" i="47540"/>
  <c r="E907" i="47540"/>
  <c r="E1190" i="47540"/>
  <c r="E558" i="47540"/>
  <c r="E1429" i="47540"/>
  <c r="E810" i="47540"/>
  <c r="E30" i="47540"/>
  <c r="E787" i="47540"/>
  <c r="E1394" i="47540"/>
  <c r="E1046" i="47540"/>
  <c r="E913" i="47540"/>
  <c r="E1434" i="47540"/>
  <c r="E41" i="47540"/>
  <c r="E37" i="47540"/>
  <c r="E1062" i="47540"/>
  <c r="E540" i="47540"/>
  <c r="E845" i="47540"/>
  <c r="E934" i="47540"/>
  <c r="E857" i="47540"/>
  <c r="E51" i="47540"/>
  <c r="E1078" i="47540"/>
  <c r="E427" i="47540"/>
  <c r="E73" i="47540"/>
  <c r="E359" i="47540"/>
  <c r="E1396" i="47540"/>
  <c r="E1270" i="47540"/>
  <c r="E83" i="47540"/>
  <c r="E438" i="47540"/>
  <c r="E481" i="47540"/>
  <c r="E63" i="47540"/>
  <c r="E1366" i="47540"/>
  <c r="E644" i="47540"/>
  <c r="E966" i="47540"/>
  <c r="E297" i="47540"/>
  <c r="E439" i="47540"/>
  <c r="E539" i="47540"/>
  <c r="E85" i="47540"/>
  <c r="E1387" i="47540"/>
  <c r="E445" i="47540"/>
  <c r="E1412" i="47540"/>
  <c r="E1027" i="47540"/>
  <c r="E1201" i="47540"/>
  <c r="E736" i="47540"/>
  <c r="E1107" i="47540"/>
  <c r="E1170" i="47540"/>
  <c r="E615" i="47540"/>
  <c r="E174" i="47540"/>
  <c r="E1217" i="47540"/>
  <c r="E1163" i="47540"/>
  <c r="E206" i="47540"/>
  <c r="E1225" i="47540"/>
  <c r="E626" i="47540"/>
  <c r="E1069" i="47540"/>
  <c r="E357" i="47540"/>
  <c r="E631" i="47540"/>
  <c r="E238" i="47540"/>
  <c r="E1241" i="47540"/>
  <c r="E637" i="47540"/>
  <c r="E419" i="47540"/>
  <c r="E1249" i="47540"/>
  <c r="E642" i="47540"/>
  <c r="E837" i="47540"/>
  <c r="E691" i="47540"/>
  <c r="E103" i="47540"/>
  <c r="E462" i="47540"/>
  <c r="E1357" i="47540"/>
  <c r="E856" i="47540"/>
  <c r="E1294" i="47540"/>
  <c r="E1216" i="47540"/>
  <c r="E494" i="47540"/>
  <c r="E1367" i="47540"/>
  <c r="E295" i="47540"/>
  <c r="E726" i="47540"/>
  <c r="E586" i="47540"/>
  <c r="E508" i="47540"/>
  <c r="E1118" i="47540"/>
  <c r="E1378" i="47540"/>
  <c r="E807" i="47540"/>
  <c r="E767" i="47540"/>
  <c r="E196" i="47540"/>
  <c r="E536" i="47540"/>
  <c r="E1024" i="47540"/>
  <c r="E338" i="47540"/>
  <c r="E834" i="47540"/>
  <c r="E1292" i="47540"/>
  <c r="E406" i="47540"/>
  <c r="E1206" i="47540"/>
  <c r="E831" i="47540"/>
  <c r="E411" i="47540"/>
  <c r="E842" i="47540"/>
  <c r="E218" i="47540"/>
  <c r="E354" i="47540"/>
  <c r="E31" i="47540"/>
  <c r="E1339" i="47540"/>
  <c r="E262" i="47540"/>
  <c r="E433" i="47540"/>
  <c r="E42" i="47540"/>
  <c r="E937" i="47540"/>
  <c r="E1355" i="47540"/>
  <c r="E268" i="47540"/>
  <c r="E961" i="47540"/>
  <c r="E115" i="47540"/>
  <c r="E370" i="47540"/>
  <c r="E1006" i="47540"/>
  <c r="E293" i="47540"/>
  <c r="E1103" i="47540"/>
  <c r="E1408" i="47540"/>
  <c r="E1017" i="47540"/>
  <c r="E307" i="47540"/>
  <c r="E732" i="47540"/>
  <c r="E153" i="47540"/>
  <c r="E314" i="47540"/>
  <c r="E610" i="47540"/>
  <c r="E163" i="47540"/>
  <c r="E1209" i="47540"/>
  <c r="E1151" i="47540"/>
  <c r="E614" i="47540"/>
  <c r="E191" i="47540"/>
  <c r="E335" i="47540"/>
  <c r="E744" i="47540"/>
  <c r="E1127" i="47540"/>
  <c r="E1186" i="47540"/>
  <c r="E748" i="47540"/>
  <c r="E625" i="47540"/>
  <c r="E1194" i="47540"/>
  <c r="E18" i="47540"/>
  <c r="E630" i="47540"/>
  <c r="E490" i="47540"/>
  <c r="E844" i="47540"/>
  <c r="E1143" i="47540"/>
  <c r="E499" i="47540"/>
  <c r="E98" i="47540"/>
  <c r="E651" i="47540"/>
  <c r="E511" i="47540"/>
  <c r="E474" i="47540"/>
  <c r="E852" i="47540"/>
  <c r="E858" i="47540"/>
  <c r="E713" i="47540"/>
  <c r="E653" i="47540"/>
  <c r="E715" i="47540"/>
  <c r="E1258" i="47540"/>
  <c r="E1362" i="47540"/>
  <c r="E488" i="47540"/>
  <c r="E1301" i="47540"/>
  <c r="E1268" i="47540"/>
  <c r="E1305" i="47540"/>
  <c r="E311" i="47540"/>
  <c r="E731" i="47540"/>
  <c r="E597" i="47540"/>
  <c r="E986" i="47540"/>
  <c r="E872" i="47540"/>
  <c r="E1142" i="47540"/>
  <c r="E766" i="47540"/>
  <c r="E1028" i="47540"/>
  <c r="E1193" i="47540"/>
  <c r="E1111" i="47540"/>
  <c r="E318" i="47540"/>
  <c r="E1040" i="47540"/>
  <c r="E1403" i="47540"/>
  <c r="E1096" i="47540"/>
  <c r="E339" i="47540"/>
  <c r="E1100" i="47540"/>
  <c r="E1061" i="47540"/>
  <c r="E13" i="47540"/>
  <c r="E1131" i="47540"/>
  <c r="E1233" i="47540"/>
  <c r="E1108" i="47540"/>
  <c r="E1202" i="47540"/>
  <c r="E1112" i="47540"/>
  <c r="E501" i="47540"/>
  <c r="E1116" i="47540"/>
  <c r="E1218" i="47540"/>
  <c r="E1120" i="47540"/>
  <c r="E1253" i="47540"/>
  <c r="E1184" i="47540"/>
  <c r="E879" i="47540"/>
  <c r="E723" i="47540"/>
  <c r="E775" i="47540"/>
  <c r="E721" i="47540"/>
  <c r="E575" i="47540"/>
  <c r="E933" i="47540"/>
  <c r="E781" i="47540"/>
  <c r="E505" i="47540"/>
  <c r="E965" i="47540"/>
  <c r="E1276" i="47540"/>
  <c r="E1310" i="47540"/>
  <c r="E1280" i="47540"/>
  <c r="E526" i="47540"/>
  <c r="E1007" i="47540"/>
  <c r="E204" i="47540"/>
  <c r="E568" i="47540"/>
  <c r="E1032" i="47540"/>
  <c r="E349" i="47540"/>
  <c r="E1005" i="47540"/>
  <c r="E1388" i="47540"/>
  <c r="E417" i="47540"/>
  <c r="E939" i="47540"/>
  <c r="E1238" i="47540"/>
  <c r="E867" i="47540"/>
  <c r="E1445" i="47540"/>
  <c r="E853" i="47540"/>
  <c r="E62" i="47540"/>
  <c r="E819" i="47540"/>
  <c r="E239" i="47540"/>
  <c r="E1329" i="47540"/>
  <c r="E220" i="47540"/>
  <c r="E572" i="47540"/>
  <c r="E54" i="47540"/>
  <c r="E1010" i="47540"/>
  <c r="E950" i="47540"/>
  <c r="E1259" i="47540"/>
  <c r="E863" i="47540"/>
  <c r="E250" i="47540"/>
  <c r="E232" i="47540"/>
  <c r="E974" i="47540"/>
  <c r="E365" i="47540"/>
  <c r="E985" i="47540"/>
  <c r="E947" i="47540"/>
  <c r="E1091" i="47540"/>
  <c r="E486" i="47540"/>
  <c r="E74" i="47540"/>
  <c r="E969" i="47540"/>
  <c r="E728" i="47540"/>
  <c r="E67" i="47540"/>
  <c r="E303" i="47540"/>
  <c r="E1036" i="47540"/>
  <c r="E1099" i="47540"/>
  <c r="E170" i="47540"/>
  <c r="E1398" i="47540"/>
  <c r="E1135" i="47540"/>
  <c r="E609" i="47540"/>
  <c r="E181" i="47540"/>
  <c r="E740" i="47540"/>
  <c r="E1053" i="47540"/>
  <c r="E621" i="47540"/>
  <c r="E619" i="47540"/>
  <c r="E371" i="47540"/>
  <c r="E1104" i="47540"/>
  <c r="E217" i="47540"/>
  <c r="E382" i="47540"/>
  <c r="E840" i="47540"/>
  <c r="E1139" i="47540"/>
  <c r="E403" i="47540"/>
  <c r="E93" i="47540"/>
  <c r="E635" i="47540"/>
  <c r="E1210" i="47540"/>
  <c r="E848" i="47540"/>
  <c r="E1245" i="47540"/>
  <c r="E647" i="47540"/>
  <c r="E710" i="47540"/>
  <c r="E1242" i="47540"/>
  <c r="E167" i="47540"/>
  <c r="E554" i="47540"/>
  <c r="E183" i="47540"/>
  <c r="E901" i="47540"/>
  <c r="E734" i="47540"/>
  <c r="E864" i="47540"/>
  <c r="E922" i="47540"/>
  <c r="E745" i="47540"/>
  <c r="E786" i="47540"/>
  <c r="E1311" i="47540"/>
  <c r="E317" i="47540"/>
  <c r="E737" i="47540"/>
  <c r="E1449" i="47540"/>
  <c r="D19" i="47540"/>
  <c r="D35" i="47540"/>
  <c r="D51" i="47540"/>
  <c r="D18" i="47540"/>
  <c r="D34" i="47540"/>
  <c r="D50" i="47540"/>
  <c r="D66" i="47540"/>
  <c r="D82" i="47540"/>
  <c r="D98" i="47540"/>
  <c r="D114" i="47540"/>
  <c r="D130" i="47540"/>
  <c r="D146" i="47540"/>
  <c r="D162" i="47540"/>
  <c r="D178" i="47540"/>
  <c r="D194" i="47540"/>
  <c r="D210" i="47540"/>
  <c r="D226" i="47540"/>
  <c r="D242" i="47540"/>
  <c r="D258" i="47540"/>
  <c r="D274" i="47540"/>
  <c r="D290" i="47540"/>
  <c r="D306" i="47540"/>
  <c r="D322" i="47540"/>
  <c r="D338" i="47540"/>
  <c r="D354" i="47540"/>
  <c r="D370" i="47540"/>
  <c r="D386" i="47540"/>
  <c r="D402" i="47540"/>
  <c r="D418" i="47540"/>
  <c r="D434" i="47540"/>
  <c r="D450" i="47540"/>
  <c r="D466" i="47540"/>
  <c r="D482" i="47540"/>
  <c r="D27" i="47540"/>
  <c r="D43" i="47540"/>
  <c r="D59" i="47540"/>
  <c r="D26" i="47540"/>
  <c r="D42" i="47540"/>
  <c r="D58" i="47540"/>
  <c r="D74" i="47540"/>
  <c r="D90" i="47540"/>
  <c r="D106" i="47540"/>
  <c r="D122" i="47540"/>
  <c r="D138" i="47540"/>
  <c r="D154" i="47540"/>
  <c r="D170" i="47540"/>
  <c r="D186" i="47540"/>
  <c r="D202" i="47540"/>
  <c r="D218" i="47540"/>
  <c r="D234" i="47540"/>
  <c r="D250" i="47540"/>
  <c r="D266" i="47540"/>
  <c r="D282" i="47540"/>
  <c r="D298" i="47540"/>
  <c r="D314" i="47540"/>
  <c r="D330" i="47540"/>
  <c r="D346" i="47540"/>
  <c r="D362" i="47540"/>
  <c r="D378" i="47540"/>
  <c r="D394" i="47540"/>
  <c r="D410" i="47540"/>
  <c r="D426" i="47540"/>
  <c r="D442" i="47540"/>
  <c r="D458" i="47540"/>
  <c r="D474" i="47540"/>
  <c r="D490" i="47540"/>
  <c r="D506" i="47540"/>
  <c r="D522" i="47540"/>
  <c r="D538" i="47540"/>
  <c r="D554" i="47540"/>
  <c r="D570" i="47540"/>
  <c r="D586" i="47540"/>
  <c r="D602" i="47540"/>
  <c r="D618" i="47540"/>
  <c r="D634" i="47540"/>
  <c r="D650" i="47540"/>
  <c r="D666" i="47540"/>
  <c r="D682" i="47540"/>
  <c r="D698" i="47540"/>
  <c r="D714" i="47540"/>
  <c r="D730" i="47540"/>
  <c r="D746" i="47540"/>
  <c r="D762" i="47540"/>
  <c r="D778" i="47540"/>
  <c r="D794" i="47540"/>
  <c r="D810" i="47540"/>
  <c r="D826" i="47540"/>
  <c r="D842" i="47540"/>
  <c r="D858" i="47540"/>
  <c r="D874" i="47540"/>
  <c r="D890" i="47540"/>
  <c r="D906" i="47540"/>
  <c r="D922" i="47540"/>
  <c r="D938" i="47540"/>
  <c r="D954" i="47540"/>
  <c r="D970" i="47540"/>
  <c r="D986" i="47540"/>
  <c r="D1002" i="47540"/>
  <c r="D1018" i="47540"/>
  <c r="D1034" i="47540"/>
  <c r="D41" i="47540"/>
  <c r="D69" i="47540"/>
  <c r="D91" i="47540"/>
  <c r="D112" i="47540"/>
  <c r="D133" i="47540"/>
  <c r="D155" i="47540"/>
  <c r="D176" i="47540"/>
  <c r="D197" i="47540"/>
  <c r="D219" i="47540"/>
  <c r="D240" i="47540"/>
  <c r="D261" i="47540"/>
  <c r="D283" i="47540"/>
  <c r="D304" i="47540"/>
  <c r="D325" i="47540"/>
  <c r="D347" i="47540"/>
  <c r="D368" i="47540"/>
  <c r="D389" i="47540"/>
  <c r="D411" i="47540"/>
  <c r="D23" i="47540"/>
  <c r="D55" i="47540"/>
  <c r="D38" i="47540"/>
  <c r="D70" i="47540"/>
  <c r="D102" i="47540"/>
  <c r="D134" i="47540"/>
  <c r="D166" i="47540"/>
  <c r="D198" i="47540"/>
  <c r="D230" i="47540"/>
  <c r="D262" i="47540"/>
  <c r="D294" i="47540"/>
  <c r="D326" i="47540"/>
  <c r="D358" i="47540"/>
  <c r="D390" i="47540"/>
  <c r="D422" i="47540"/>
  <c r="D454" i="47540"/>
  <c r="D486" i="47540"/>
  <c r="D510" i="47540"/>
  <c r="D530" i="47540"/>
  <c r="D550" i="47540"/>
  <c r="D574" i="47540"/>
  <c r="D594" i="47540"/>
  <c r="D614" i="47540"/>
  <c r="D638" i="47540"/>
  <c r="D658" i="47540"/>
  <c r="D678" i="47540"/>
  <c r="D702" i="47540"/>
  <c r="D722" i="47540"/>
  <c r="D742" i="47540"/>
  <c r="D766" i="47540"/>
  <c r="D786" i="47540"/>
  <c r="D806" i="47540"/>
  <c r="D830" i="47540"/>
  <c r="D850" i="47540"/>
  <c r="D870" i="47540"/>
  <c r="D894" i="47540"/>
  <c r="D914" i="47540"/>
  <c r="D934" i="47540"/>
  <c r="D958" i="47540"/>
  <c r="D978" i="47540"/>
  <c r="D998" i="47540"/>
  <c r="D1022" i="47540"/>
  <c r="D25" i="47540"/>
  <c r="D64" i="47540"/>
  <c r="D96" i="47540"/>
  <c r="D123" i="47540"/>
  <c r="D149" i="47540"/>
  <c r="D181" i="47540"/>
  <c r="D208" i="47540"/>
  <c r="D235" i="47540"/>
  <c r="D267" i="47540"/>
  <c r="D293" i="47540"/>
  <c r="D320" i="47540"/>
  <c r="D352" i="47540"/>
  <c r="D379" i="47540"/>
  <c r="D405" i="47540"/>
  <c r="D432" i="47540"/>
  <c r="D453" i="47540"/>
  <c r="D475" i="47540"/>
  <c r="D496" i="47540"/>
  <c r="D517" i="47540"/>
  <c r="D539" i="47540"/>
  <c r="D560" i="47540"/>
  <c r="D581" i="47540"/>
  <c r="D603" i="47540"/>
  <c r="D624" i="47540"/>
  <c r="D645" i="47540"/>
  <c r="D667" i="47540"/>
  <c r="D688" i="47540"/>
  <c r="D709" i="47540"/>
  <c r="D731" i="47540"/>
  <c r="D752" i="47540"/>
  <c r="D773" i="47540"/>
  <c r="D795" i="47540"/>
  <c r="D816" i="47540"/>
  <c r="D837" i="47540"/>
  <c r="D859" i="47540"/>
  <c r="D880" i="47540"/>
  <c r="D901" i="47540"/>
  <c r="D923" i="47540"/>
  <c r="D944" i="47540"/>
  <c r="D965" i="47540"/>
  <c r="D987" i="47540"/>
  <c r="D1008" i="47540"/>
  <c r="D1029" i="47540"/>
  <c r="D39" i="47540"/>
  <c r="D22" i="47540"/>
  <c r="D54" i="47540"/>
  <c r="D86" i="47540"/>
  <c r="D118" i="47540"/>
  <c r="D150" i="47540"/>
  <c r="D182" i="47540"/>
  <c r="D214" i="47540"/>
  <c r="D246" i="47540"/>
  <c r="D278" i="47540"/>
  <c r="D310" i="47540"/>
  <c r="D342" i="47540"/>
  <c r="D374" i="47540"/>
  <c r="D406" i="47540"/>
  <c r="D438" i="47540"/>
  <c r="D470" i="47540"/>
  <c r="D498" i="47540"/>
  <c r="D518" i="47540"/>
  <c r="D542" i="47540"/>
  <c r="D562" i="47540"/>
  <c r="D582" i="47540"/>
  <c r="D606" i="47540"/>
  <c r="D626" i="47540"/>
  <c r="D646" i="47540"/>
  <c r="D670" i="47540"/>
  <c r="D690" i="47540"/>
  <c r="D710" i="47540"/>
  <c r="D734" i="47540"/>
  <c r="D754" i="47540"/>
  <c r="D774" i="47540"/>
  <c r="D798" i="47540"/>
  <c r="D818" i="47540"/>
  <c r="D838" i="47540"/>
  <c r="D862" i="47540"/>
  <c r="D882" i="47540"/>
  <c r="D902" i="47540"/>
  <c r="D926" i="47540"/>
  <c r="D946" i="47540"/>
  <c r="D966" i="47540"/>
  <c r="D990" i="47540"/>
  <c r="D1010" i="47540"/>
  <c r="D1030" i="47540"/>
  <c r="D49" i="47540"/>
  <c r="D80" i="47540"/>
  <c r="D107" i="47540"/>
  <c r="D139" i="47540"/>
  <c r="D165" i="47540"/>
  <c r="D192" i="47540"/>
  <c r="D224" i="47540"/>
  <c r="D251" i="47540"/>
  <c r="D277" i="47540"/>
  <c r="D309" i="47540"/>
  <c r="D336" i="47540"/>
  <c r="D363" i="47540"/>
  <c r="D395" i="47540"/>
  <c r="D421" i="47540"/>
  <c r="D443" i="47540"/>
  <c r="D464" i="47540"/>
  <c r="D485" i="47540"/>
  <c r="D507" i="47540"/>
  <c r="D528" i="47540"/>
  <c r="D549" i="47540"/>
  <c r="D571" i="47540"/>
  <c r="D592" i="47540"/>
  <c r="D613" i="47540"/>
  <c r="D635" i="47540"/>
  <c r="D656" i="47540"/>
  <c r="D677" i="47540"/>
  <c r="D699" i="47540"/>
  <c r="D720" i="47540"/>
  <c r="D741" i="47540"/>
  <c r="D763" i="47540"/>
  <c r="D784" i="47540"/>
  <c r="D805" i="47540"/>
  <c r="D827" i="47540"/>
  <c r="D848" i="47540"/>
  <c r="D869" i="47540"/>
  <c r="D891" i="47540"/>
  <c r="D912" i="47540"/>
  <c r="D933" i="47540"/>
  <c r="D955" i="47540"/>
  <c r="D976" i="47540"/>
  <c r="D997" i="47540"/>
  <c r="D1019" i="47540"/>
  <c r="D1039" i="47540"/>
  <c r="D1055" i="47540"/>
  <c r="D1071" i="47540"/>
  <c r="D1087" i="47540"/>
  <c r="D1103" i="47540"/>
  <c r="D1119" i="47540"/>
  <c r="D1135" i="47540"/>
  <c r="D1151" i="47540"/>
  <c r="D1167" i="47540"/>
  <c r="D1183" i="47540"/>
  <c r="D1199" i="47540"/>
  <c r="D1215" i="47540"/>
  <c r="D1231" i="47540"/>
  <c r="D1247" i="47540"/>
  <c r="D1263" i="47540"/>
  <c r="D1279" i="47540"/>
  <c r="D1295" i="47540"/>
  <c r="D29" i="47540"/>
  <c r="D68" i="47540"/>
  <c r="D97" i="47540"/>
  <c r="D125" i="47540"/>
  <c r="D153" i="47540"/>
  <c r="D183" i="47540"/>
  <c r="D211" i="47540"/>
  <c r="D239" i="47540"/>
  <c r="D268" i="47540"/>
  <c r="D296" i="47540"/>
  <c r="D324" i="47540"/>
  <c r="D353" i="47540"/>
  <c r="D381" i="47540"/>
  <c r="D409" i="47540"/>
  <c r="D439" i="47540"/>
  <c r="D467" i="47540"/>
  <c r="D495" i="47540"/>
  <c r="D524" i="47540"/>
  <c r="D552" i="47540"/>
  <c r="D580" i="47540"/>
  <c r="D609" i="47540"/>
  <c r="D637" i="47540"/>
  <c r="D665" i="47540"/>
  <c r="D695" i="47540"/>
  <c r="D723" i="47540"/>
  <c r="D751" i="47540"/>
  <c r="D780" i="47540"/>
  <c r="D808" i="47540"/>
  <c r="D836" i="47540"/>
  <c r="D865" i="47540"/>
  <c r="D893" i="47540"/>
  <c r="D921" i="47540"/>
  <c r="D951" i="47540"/>
  <c r="D979" i="47540"/>
  <c r="D1007" i="47540"/>
  <c r="D1036" i="47540"/>
  <c r="D1057" i="47540"/>
  <c r="D1078" i="47540"/>
  <c r="D14" i="47540"/>
  <c r="D78" i="47540"/>
  <c r="D142" i="47540"/>
  <c r="D206" i="47540"/>
  <c r="D270" i="47540"/>
  <c r="D334" i="47540"/>
  <c r="D398" i="47540"/>
  <c r="D462" i="47540"/>
  <c r="D514" i="47540"/>
  <c r="D558" i="47540"/>
  <c r="D598" i="47540"/>
  <c r="D642" i="47540"/>
  <c r="D686" i="47540"/>
  <c r="D726" i="47540"/>
  <c r="D770" i="47540"/>
  <c r="D814" i="47540"/>
  <c r="D854" i="47540"/>
  <c r="D898" i="47540"/>
  <c r="D942" i="47540"/>
  <c r="D982" i="47540"/>
  <c r="D1026" i="47540"/>
  <c r="D75" i="47540"/>
  <c r="D128" i="47540"/>
  <c r="D187" i="47540"/>
  <c r="D245" i="47540"/>
  <c r="D299" i="47540"/>
  <c r="D357" i="47540"/>
  <c r="D416" i="47540"/>
  <c r="D459" i="47540"/>
  <c r="D501" i="47540"/>
  <c r="D544" i="47540"/>
  <c r="D587" i="47540"/>
  <c r="D629" i="47540"/>
  <c r="D672" i="47540"/>
  <c r="D715" i="47540"/>
  <c r="D757" i="47540"/>
  <c r="D800" i="47540"/>
  <c r="D843" i="47540"/>
  <c r="D885" i="47540"/>
  <c r="D928" i="47540"/>
  <c r="D971" i="47540"/>
  <c r="D1013" i="47540"/>
  <c r="D1047" i="47540"/>
  <c r="D1067" i="47540"/>
  <c r="D1091" i="47540"/>
  <c r="D1111" i="47540"/>
  <c r="D1131" i="47540"/>
  <c r="D1155" i="47540"/>
  <c r="D1175" i="47540"/>
  <c r="D1195" i="47540"/>
  <c r="D1219" i="47540"/>
  <c r="D1239" i="47540"/>
  <c r="D1259" i="47540"/>
  <c r="D1283" i="47540"/>
  <c r="D1303" i="47540"/>
  <c r="D61" i="47540"/>
  <c r="D104" i="47540"/>
  <c r="D140" i="47540"/>
  <c r="D175" i="47540"/>
  <c r="D217" i="47540"/>
  <c r="D253" i="47540"/>
  <c r="D289" i="47540"/>
  <c r="D332" i="47540"/>
  <c r="D367" i="47540"/>
  <c r="D403" i="47540"/>
  <c r="D445" i="47540"/>
  <c r="D481" i="47540"/>
  <c r="D516" i="47540"/>
  <c r="D559" i="47540"/>
  <c r="D595" i="47540"/>
  <c r="D631" i="47540"/>
  <c r="D673" i="47540"/>
  <c r="D708" i="47540"/>
  <c r="D744" i="47540"/>
  <c r="D787" i="47540"/>
  <c r="D823" i="47540"/>
  <c r="D857" i="47540"/>
  <c r="D900" i="47540"/>
  <c r="D936" i="47540"/>
  <c r="D972" i="47540"/>
  <c r="D1015" i="47540"/>
  <c r="D1046" i="47540"/>
  <c r="D1073" i="47540"/>
  <c r="D1100" i="47540"/>
  <c r="D1121" i="47540"/>
  <c r="D1142" i="47540"/>
  <c r="D1164" i="47540"/>
  <c r="D1185" i="47540"/>
  <c r="D1206" i="47540"/>
  <c r="D1228" i="47540"/>
  <c r="D1249" i="47540"/>
  <c r="D1270" i="47540"/>
  <c r="D1292" i="47540"/>
  <c r="D1311" i="47540"/>
  <c r="D1327" i="47540"/>
  <c r="D1343" i="47540"/>
  <c r="D1359" i="47540"/>
  <c r="D1375" i="47540"/>
  <c r="D1391" i="47540"/>
  <c r="D1407" i="47540"/>
  <c r="D1423" i="47540"/>
  <c r="D1439" i="47540"/>
  <c r="D21" i="47540"/>
  <c r="D28" i="47540"/>
  <c r="D67" i="47540"/>
  <c r="D95" i="47540"/>
  <c r="D124" i="47540"/>
  <c r="D152" i="47540"/>
  <c r="D180" i="47540"/>
  <c r="D209" i="47540"/>
  <c r="D237" i="47540"/>
  <c r="D265" i="47540"/>
  <c r="D295" i="47540"/>
  <c r="D323" i="47540"/>
  <c r="D351" i="47540"/>
  <c r="D380" i="47540"/>
  <c r="D408" i="47540"/>
  <c r="D436" i="47540"/>
  <c r="D465" i="47540"/>
  <c r="D493" i="47540"/>
  <c r="D521" i="47540"/>
  <c r="D551" i="47540"/>
  <c r="D579" i="47540"/>
  <c r="D607" i="47540"/>
  <c r="D636" i="47540"/>
  <c r="D664" i="47540"/>
  <c r="D692" i="47540"/>
  <c r="D721" i="47540"/>
  <c r="D749" i="47540"/>
  <c r="D777" i="47540"/>
  <c r="D807" i="47540"/>
  <c r="D835" i="47540"/>
  <c r="D863" i="47540"/>
  <c r="D892" i="47540"/>
  <c r="D920" i="47540"/>
  <c r="D948" i="47540"/>
  <c r="D977" i="47540"/>
  <c r="D1005" i="47540"/>
  <c r="D1033" i="47540"/>
  <c r="D1056" i="47540"/>
  <c r="D1077" i="47540"/>
  <c r="D1098" i="47540"/>
  <c r="D1120" i="47540"/>
  <c r="D1141" i="47540"/>
  <c r="D1162" i="47540"/>
  <c r="D1184" i="47540"/>
  <c r="D1205" i="47540"/>
  <c r="D1226" i="47540"/>
  <c r="D1248" i="47540"/>
  <c r="D1269" i="47540"/>
  <c r="D1290" i="47540"/>
  <c r="D1310" i="47540"/>
  <c r="D1326" i="47540"/>
  <c r="D1342" i="47540"/>
  <c r="D1358" i="47540"/>
  <c r="D1374" i="47540"/>
  <c r="D1390" i="47540"/>
  <c r="D1406" i="47540"/>
  <c r="D1422" i="47540"/>
  <c r="D1438" i="47540"/>
  <c r="D13" i="47540"/>
  <c r="D56" i="47540"/>
  <c r="D87" i="47540"/>
  <c r="D115" i="47540"/>
  <c r="D143" i="47540"/>
  <c r="D172" i="47540"/>
  <c r="D200" i="47540"/>
  <c r="D228" i="47540"/>
  <c r="D257" i="47540"/>
  <c r="D285" i="47540"/>
  <c r="D31" i="47540"/>
  <c r="D62" i="47540"/>
  <c r="D158" i="47540"/>
  <c r="D238" i="47540"/>
  <c r="D318" i="47540"/>
  <c r="D414" i="47540"/>
  <c r="D494" i="47540"/>
  <c r="D546" i="47540"/>
  <c r="D610" i="47540"/>
  <c r="D662" i="47540"/>
  <c r="D718" i="47540"/>
  <c r="D782" i="47540"/>
  <c r="D834" i="47540"/>
  <c r="D886" i="47540"/>
  <c r="D950" i="47540"/>
  <c r="D1006" i="47540"/>
  <c r="D57" i="47540"/>
  <c r="D144" i="47540"/>
  <c r="D213" i="47540"/>
  <c r="D288" i="47540"/>
  <c r="D373" i="47540"/>
  <c r="D437" i="47540"/>
  <c r="D491" i="47540"/>
  <c r="D555" i="47540"/>
  <c r="D608" i="47540"/>
  <c r="D661" i="47540"/>
  <c r="D725" i="47540"/>
  <c r="D779" i="47540"/>
  <c r="D832" i="47540"/>
  <c r="D896" i="47540"/>
  <c r="D949" i="47540"/>
  <c r="D1003" i="47540"/>
  <c r="D1051" i="47540"/>
  <c r="D1079" i="47540"/>
  <c r="D1107" i="47540"/>
  <c r="D1139" i="47540"/>
  <c r="D1163" i="47540"/>
  <c r="D1191" i="47540"/>
  <c r="D1223" i="47540"/>
  <c r="D1251" i="47540"/>
  <c r="D1275" i="47540"/>
  <c r="D20" i="47540"/>
  <c r="D83" i="47540"/>
  <c r="D132" i="47540"/>
  <c r="D189" i="47540"/>
  <c r="D232" i="47540"/>
  <c r="D281" i="47540"/>
  <c r="D339" i="47540"/>
  <c r="D388" i="47540"/>
  <c r="D431" i="47540"/>
  <c r="D488" i="47540"/>
  <c r="D537" i="47540"/>
  <c r="D588" i="47540"/>
  <c r="D644" i="47540"/>
  <c r="D687" i="47540"/>
  <c r="D737" i="47540"/>
  <c r="D793" i="47540"/>
  <c r="D844" i="47540"/>
  <c r="D887" i="47540"/>
  <c r="D943" i="47540"/>
  <c r="D993" i="47540"/>
  <c r="D1041" i="47540"/>
  <c r="D1084" i="47540"/>
  <c r="D1110" i="47540"/>
  <c r="D1137" i="47540"/>
  <c r="D1169" i="47540"/>
  <c r="D1196" i="47540"/>
  <c r="D1222" i="47540"/>
  <c r="D1254" i="47540"/>
  <c r="D1281" i="47540"/>
  <c r="D1307" i="47540"/>
  <c r="D1331" i="47540"/>
  <c r="D1351" i="47540"/>
  <c r="D1371" i="47540"/>
  <c r="D1395" i="47540"/>
  <c r="D1415" i="47540"/>
  <c r="D1435" i="47540"/>
  <c r="D355" i="47540"/>
  <c r="D48" i="47540"/>
  <c r="D88" i="47540"/>
  <c r="D131" i="47540"/>
  <c r="D167" i="47540"/>
  <c r="D201" i="47540"/>
  <c r="D244" i="47540"/>
  <c r="D280" i="47540"/>
  <c r="D316" i="47540"/>
  <c r="D359" i="47540"/>
  <c r="D393" i="47540"/>
  <c r="D429" i="47540"/>
  <c r="D472" i="47540"/>
  <c r="D508" i="47540"/>
  <c r="D543" i="47540"/>
  <c r="D585" i="47540"/>
  <c r="D621" i="47540"/>
  <c r="D657" i="47540"/>
  <c r="D700" i="47540"/>
  <c r="D735" i="47540"/>
  <c r="D771" i="47540"/>
  <c r="D813" i="47540"/>
  <c r="D849" i="47540"/>
  <c r="D884" i="47540"/>
  <c r="D927" i="47540"/>
  <c r="D963" i="47540"/>
  <c r="D999" i="47540"/>
  <c r="D1040" i="47540"/>
  <c r="D1066" i="47540"/>
  <c r="D1093" i="47540"/>
  <c r="D1125" i="47540"/>
  <c r="D1152" i="47540"/>
  <c r="D1178" i="47540"/>
  <c r="D1210" i="47540"/>
  <c r="D1237" i="47540"/>
  <c r="D1264" i="47540"/>
  <c r="D1296" i="47540"/>
  <c r="D1318" i="47540"/>
  <c r="D1338" i="47540"/>
  <c r="D1362" i="47540"/>
  <c r="D1382" i="47540"/>
  <c r="D1402" i="47540"/>
  <c r="D1426" i="47540"/>
  <c r="D1446" i="47540"/>
  <c r="D45" i="47540"/>
  <c r="D93" i="47540"/>
  <c r="D129" i="47540"/>
  <c r="D164" i="47540"/>
  <c r="D207" i="47540"/>
  <c r="D243" i="47540"/>
  <c r="D279" i="47540"/>
  <c r="D313" i="47540"/>
  <c r="D343" i="47540"/>
  <c r="D371" i="47540"/>
  <c r="D399" i="47540"/>
  <c r="D428" i="47540"/>
  <c r="D456" i="47540"/>
  <c r="D484" i="47540"/>
  <c r="D513" i="47540"/>
  <c r="D541" i="47540"/>
  <c r="D569" i="47540"/>
  <c r="D599" i="47540"/>
  <c r="D627" i="47540"/>
  <c r="D655" i="47540"/>
  <c r="D684" i="47540"/>
  <c r="D712" i="47540"/>
  <c r="D740" i="47540"/>
  <c r="D769" i="47540"/>
  <c r="D797" i="47540"/>
  <c r="D825" i="47540"/>
  <c r="D855" i="47540"/>
  <c r="D883" i="47540"/>
  <c r="D911" i="47540"/>
  <c r="D940" i="47540"/>
  <c r="D968" i="47540"/>
  <c r="D996" i="47540"/>
  <c r="D1025" i="47540"/>
  <c r="D1049" i="47540"/>
  <c r="D1070" i="47540"/>
  <c r="D1092" i="47540"/>
  <c r="D1113" i="47540"/>
  <c r="D1134" i="47540"/>
  <c r="D1156" i="47540"/>
  <c r="D1177" i="47540"/>
  <c r="D1198" i="47540"/>
  <c r="D1220" i="47540"/>
  <c r="D1241" i="47540"/>
  <c r="D1262" i="47540"/>
  <c r="D1284" i="47540"/>
  <c r="D1305" i="47540"/>
  <c r="D1321" i="47540"/>
  <c r="D1337" i="47540"/>
  <c r="D1353" i="47540"/>
  <c r="D47" i="47540"/>
  <c r="D110" i="47540"/>
  <c r="D222" i="47540"/>
  <c r="D350" i="47540"/>
  <c r="D446" i="47540"/>
  <c r="D534" i="47540"/>
  <c r="D622" i="47540"/>
  <c r="D694" i="47540"/>
  <c r="D758" i="47540"/>
  <c r="D846" i="47540"/>
  <c r="D918" i="47540"/>
  <c r="D994" i="47540"/>
  <c r="D85" i="47540"/>
  <c r="D171" i="47540"/>
  <c r="D272" i="47540"/>
  <c r="D384" i="47540"/>
  <c r="D469" i="47540"/>
  <c r="D533" i="47540"/>
  <c r="D619" i="47540"/>
  <c r="D693" i="47540"/>
  <c r="D768" i="47540"/>
  <c r="D853" i="47540"/>
  <c r="D917" i="47540"/>
  <c r="D992" i="47540"/>
  <c r="D1059" i="47540"/>
  <c r="D1095" i="47540"/>
  <c r="D1127" i="47540"/>
  <c r="D1171" i="47540"/>
  <c r="D1207" i="47540"/>
  <c r="D1243" i="47540"/>
  <c r="D1287" i="47540"/>
  <c r="D52" i="47540"/>
  <c r="D119" i="47540"/>
  <c r="D196" i="47540"/>
  <c r="D260" i="47540"/>
  <c r="D317" i="47540"/>
  <c r="D396" i="47540"/>
  <c r="D460" i="47540"/>
  <c r="D531" i="47540"/>
  <c r="D601" i="47540"/>
  <c r="D659" i="47540"/>
  <c r="D729" i="47540"/>
  <c r="D801" i="47540"/>
  <c r="D872" i="47540"/>
  <c r="D929" i="47540"/>
  <c r="D1000" i="47540"/>
  <c r="D1062" i="47540"/>
  <c r="D1105" i="47540"/>
  <c r="D1148" i="47540"/>
  <c r="D1180" i="47540"/>
  <c r="D1217" i="47540"/>
  <c r="D1260" i="47540"/>
  <c r="D1297" i="47540"/>
  <c r="D1323" i="47540"/>
  <c r="D1355" i="47540"/>
  <c r="D1383" i="47540"/>
  <c r="D1411" i="47540"/>
  <c r="D1443" i="47540"/>
  <c r="D16" i="47540"/>
  <c r="D81" i="47540"/>
  <c r="D137" i="47540"/>
  <c r="D188" i="47540"/>
  <c r="D231" i="47540"/>
  <c r="D287" i="47540"/>
  <c r="D337" i="47540"/>
  <c r="D387" i="47540"/>
  <c r="D444" i="47540"/>
  <c r="D487" i="47540"/>
  <c r="D536" i="47540"/>
  <c r="D593" i="47540"/>
  <c r="D643" i="47540"/>
  <c r="D685" i="47540"/>
  <c r="D743" i="47540"/>
  <c r="D792" i="47540"/>
  <c r="D841" i="47540"/>
  <c r="D899" i="47540"/>
  <c r="D941" i="47540"/>
  <c r="D991" i="47540"/>
  <c r="D1045" i="47540"/>
  <c r="D1082" i="47540"/>
  <c r="D1114" i="47540"/>
  <c r="D1157" i="47540"/>
  <c r="D1194" i="47540"/>
  <c r="D1232" i="47540"/>
  <c r="D1274" i="47540"/>
  <c r="D1306" i="47540"/>
  <c r="D1334" i="47540"/>
  <c r="D1366" i="47540"/>
  <c r="D1394" i="47540"/>
  <c r="D1418" i="47540"/>
  <c r="D1450" i="47540"/>
  <c r="D72" i="47540"/>
  <c r="D121" i="47540"/>
  <c r="D179" i="47540"/>
  <c r="D221" i="47540"/>
  <c r="D271" i="47540"/>
  <c r="D321" i="47540"/>
  <c r="D356" i="47540"/>
  <c r="D392" i="47540"/>
  <c r="D435" i="47540"/>
  <c r="D471" i="47540"/>
  <c r="D505" i="47540"/>
  <c r="D548" i="47540"/>
  <c r="D584" i="47540"/>
  <c r="D620" i="47540"/>
  <c r="D663" i="47540"/>
  <c r="D697" i="47540"/>
  <c r="D733" i="47540"/>
  <c r="D776" i="47540"/>
  <c r="D812" i="47540"/>
  <c r="D847" i="47540"/>
  <c r="D889" i="47540"/>
  <c r="D925" i="47540"/>
  <c r="D961" i="47540"/>
  <c r="D1004" i="47540"/>
  <c r="D1038" i="47540"/>
  <c r="D1065" i="47540"/>
  <c r="D1097" i="47540"/>
  <c r="D1124" i="47540"/>
  <c r="D1150" i="47540"/>
  <c r="D1182" i="47540"/>
  <c r="D1209" i="47540"/>
  <c r="D1236" i="47540"/>
  <c r="D1268" i="47540"/>
  <c r="D1294" i="47540"/>
  <c r="D1317" i="47540"/>
  <c r="D1341" i="47540"/>
  <c r="D1361" i="47540"/>
  <c r="D1377" i="47540"/>
  <c r="D1393" i="47540"/>
  <c r="D1409" i="47540"/>
  <c r="D1425" i="47540"/>
  <c r="D1441" i="47540"/>
  <c r="D44" i="47540"/>
  <c r="D77" i="47540"/>
  <c r="D105" i="47540"/>
  <c r="D135" i="47540"/>
  <c r="D163" i="47540"/>
  <c r="D191" i="47540"/>
  <c r="D220" i="47540"/>
  <c r="D248" i="47540"/>
  <c r="D276" i="47540"/>
  <c r="D305" i="47540"/>
  <c r="D333" i="47540"/>
  <c r="D369" i="47540"/>
  <c r="D397" i="47540"/>
  <c r="D433" i="47540"/>
  <c r="D547" i="47540"/>
  <c r="D660" i="47540"/>
  <c r="D775" i="47540"/>
  <c r="D888" i="47540"/>
  <c r="D1001" i="47540"/>
  <c r="D1096" i="47540"/>
  <c r="D1181" i="47540"/>
  <c r="D1266" i="47540"/>
  <c r="D1340" i="47540"/>
  <c r="D1404" i="47540"/>
  <c r="D455" i="47540"/>
  <c r="D568" i="47540"/>
  <c r="D681" i="47540"/>
  <c r="D796" i="47540"/>
  <c r="D909" i="47540"/>
  <c r="D1023" i="47540"/>
  <c r="D1112" i="47540"/>
  <c r="D1197" i="47540"/>
  <c r="D1282" i="47540"/>
  <c r="D1352" i="47540"/>
  <c r="D1416" i="47540"/>
  <c r="D476" i="47540"/>
  <c r="D589" i="47540"/>
  <c r="D703" i="47540"/>
  <c r="D817" i="47540"/>
  <c r="D931" i="47540"/>
  <c r="D1042" i="47540"/>
  <c r="D1128" i="47540"/>
  <c r="D1213" i="47540"/>
  <c r="D1298" i="47540"/>
  <c r="D1364" i="47540"/>
  <c r="D1428" i="47540"/>
  <c r="D497" i="47540"/>
  <c r="D611" i="47540"/>
  <c r="D724" i="47540"/>
  <c r="D839" i="47540"/>
  <c r="D952" i="47540"/>
  <c r="D1058" i="47540"/>
  <c r="D1144" i="47540"/>
  <c r="D1229" i="47540"/>
  <c r="D1312" i="47540"/>
  <c r="D1376" i="47540"/>
  <c r="D1440" i="47540"/>
  <c r="D46" i="47540"/>
  <c r="D174" i="47540"/>
  <c r="D286" i="47540"/>
  <c r="D382" i="47540"/>
  <c r="D502" i="47540"/>
  <c r="D578" i="47540"/>
  <c r="D654" i="47540"/>
  <c r="D738" i="47540"/>
  <c r="D802" i="47540"/>
  <c r="D878" i="47540"/>
  <c r="D962" i="47540"/>
  <c r="D17" i="47540"/>
  <c r="D117" i="47540"/>
  <c r="D229" i="47540"/>
  <c r="D331" i="47540"/>
  <c r="D427" i="47540"/>
  <c r="D512" i="47540"/>
  <c r="D576" i="47540"/>
  <c r="D651" i="47540"/>
  <c r="D736" i="47540"/>
  <c r="D811" i="47540"/>
  <c r="D875" i="47540"/>
  <c r="D960" i="47540"/>
  <c r="D1035" i="47540"/>
  <c r="D1075" i="47540"/>
  <c r="D1115" i="47540"/>
  <c r="D1147" i="47540"/>
  <c r="D1187" i="47540"/>
  <c r="D1227" i="47540"/>
  <c r="D1267" i="47540"/>
  <c r="D1299" i="47540"/>
  <c r="D89" i="47540"/>
  <c r="D161" i="47540"/>
  <c r="D225" i="47540"/>
  <c r="D303" i="47540"/>
  <c r="D360" i="47540"/>
  <c r="D424" i="47540"/>
  <c r="D503" i="47540"/>
  <c r="D567" i="47540"/>
  <c r="D623" i="47540"/>
  <c r="D701" i="47540"/>
  <c r="D765" i="47540"/>
  <c r="D829" i="47540"/>
  <c r="D908" i="47540"/>
  <c r="D964" i="47540"/>
  <c r="D1028" i="47540"/>
  <c r="D1089" i="47540"/>
  <c r="D1126" i="47540"/>
  <c r="D1158" i="47540"/>
  <c r="D1201" i="47540"/>
  <c r="D1238" i="47540"/>
  <c r="D1276" i="47540"/>
  <c r="D1315" i="47540"/>
  <c r="D1339" i="47540"/>
  <c r="D1367" i="47540"/>
  <c r="D1399" i="47540"/>
  <c r="D1427" i="47540"/>
  <c r="D1451" i="47540"/>
  <c r="D60" i="47540"/>
  <c r="D109" i="47540"/>
  <c r="D159" i="47540"/>
  <c r="D216" i="47540"/>
  <c r="D259" i="47540"/>
  <c r="D308" i="47540"/>
  <c r="D365" i="47540"/>
  <c r="D415" i="47540"/>
  <c r="D457" i="47540"/>
  <c r="D515" i="47540"/>
  <c r="D564" i="47540"/>
  <c r="D615" i="47540"/>
  <c r="D671" i="47540"/>
  <c r="D713" i="47540"/>
  <c r="D764" i="47540"/>
  <c r="D820" i="47540"/>
  <c r="D871" i="47540"/>
  <c r="D913" i="47540"/>
  <c r="D969" i="47540"/>
  <c r="D1020" i="47540"/>
  <c r="D1061" i="47540"/>
  <c r="D1104" i="47540"/>
  <c r="D1136" i="47540"/>
  <c r="D1173" i="47540"/>
  <c r="D1216" i="47540"/>
  <c r="D1253" i="47540"/>
  <c r="D1285" i="47540"/>
  <c r="D1322" i="47540"/>
  <c r="D1350" i="47540"/>
  <c r="D1378" i="47540"/>
  <c r="D1410" i="47540"/>
  <c r="D1434" i="47540"/>
  <c r="D36" i="47540"/>
  <c r="D100" i="47540"/>
  <c r="D151" i="47540"/>
  <c r="D193" i="47540"/>
  <c r="D249" i="47540"/>
  <c r="D300" i="47540"/>
  <c r="D335" i="47540"/>
  <c r="D377" i="47540"/>
  <c r="D413" i="47540"/>
  <c r="D449" i="47540"/>
  <c r="D492" i="47540"/>
  <c r="D527" i="47540"/>
  <c r="D563" i="47540"/>
  <c r="D605" i="47540"/>
  <c r="D641" i="47540"/>
  <c r="D676" i="47540"/>
  <c r="D719" i="47540"/>
  <c r="D755" i="47540"/>
  <c r="D791" i="47540"/>
  <c r="D833" i="47540"/>
  <c r="D868" i="47540"/>
  <c r="D904" i="47540"/>
  <c r="D947" i="47540"/>
  <c r="D983" i="47540"/>
  <c r="D1017" i="47540"/>
  <c r="D1054" i="47540"/>
  <c r="D1081" i="47540"/>
  <c r="D1108" i="47540"/>
  <c r="D1140" i="47540"/>
  <c r="D1166" i="47540"/>
  <c r="D1193" i="47540"/>
  <c r="D1225" i="47540"/>
  <c r="D1252" i="47540"/>
  <c r="D1278" i="47540"/>
  <c r="D1309" i="47540"/>
  <c r="D1329" i="47540"/>
  <c r="D1349" i="47540"/>
  <c r="D1369" i="47540"/>
  <c r="D1385" i="47540"/>
  <c r="D1401" i="47540"/>
  <c r="D1417" i="47540"/>
  <c r="D1433" i="47540"/>
  <c r="D1449" i="47540"/>
  <c r="D63" i="47540"/>
  <c r="D92" i="47540"/>
  <c r="D120" i="47540"/>
  <c r="D148" i="47540"/>
  <c r="D177" i="47540"/>
  <c r="D205" i="47540"/>
  <c r="D233" i="47540"/>
  <c r="D263" i="47540"/>
  <c r="D291" i="47540"/>
  <c r="D319" i="47540"/>
  <c r="D348" i="47540"/>
  <c r="D383" i="47540"/>
  <c r="D412" i="47540"/>
  <c r="D489" i="47540"/>
  <c r="D604" i="47540"/>
  <c r="D717" i="47540"/>
  <c r="D831" i="47540"/>
  <c r="D945" i="47540"/>
  <c r="D1053" i="47540"/>
  <c r="D1138" i="47540"/>
  <c r="D1224" i="47540"/>
  <c r="D1308" i="47540"/>
  <c r="D1372" i="47540"/>
  <c r="D1436" i="47540"/>
  <c r="D511" i="47540"/>
  <c r="D625" i="47540"/>
  <c r="D739" i="47540"/>
  <c r="D852" i="47540"/>
  <c r="D967" i="47540"/>
  <c r="D1069" i="47540"/>
  <c r="D1154" i="47540"/>
  <c r="D1240" i="47540"/>
  <c r="D1320" i="47540"/>
  <c r="D1384" i="47540"/>
  <c r="D1448" i="47540"/>
  <c r="D532" i="47540"/>
  <c r="D647" i="47540"/>
  <c r="D760" i="47540"/>
  <c r="D873" i="47540"/>
  <c r="D988" i="47540"/>
  <c r="D1085" i="47540"/>
  <c r="D1170" i="47540"/>
  <c r="D1256" i="47540"/>
  <c r="D1332" i="47540"/>
  <c r="D1396" i="47540"/>
  <c r="D440" i="47540"/>
  <c r="D553" i="47540"/>
  <c r="D668" i="47540"/>
  <c r="D781" i="47540"/>
  <c r="D895" i="47540"/>
  <c r="D1009" i="47540"/>
  <c r="D1101" i="47540"/>
  <c r="D1186" i="47540"/>
  <c r="D1272" i="47540"/>
  <c r="D1344" i="47540"/>
  <c r="D1408" i="47540"/>
  <c r="D15" i="47540"/>
  <c r="D94" i="47540"/>
  <c r="D190" i="47540"/>
  <c r="D302" i="47540"/>
  <c r="D430" i="47540"/>
  <c r="D526" i="47540"/>
  <c r="D590" i="47540"/>
  <c r="D674" i="47540"/>
  <c r="D750" i="47540"/>
  <c r="D822" i="47540"/>
  <c r="D910" i="47540"/>
  <c r="D974" i="47540"/>
  <c r="D33" i="47540"/>
  <c r="D160" i="47540"/>
  <c r="D256" i="47540"/>
  <c r="D341" i="47540"/>
  <c r="D448" i="47540"/>
  <c r="D523" i="47540"/>
  <c r="D597" i="47540"/>
  <c r="D683" i="47540"/>
  <c r="D747" i="47540"/>
  <c r="D821" i="47540"/>
  <c r="D907" i="47540"/>
  <c r="D981" i="47540"/>
  <c r="D1043" i="47540"/>
  <c r="D1083" i="47540"/>
  <c r="D1123" i="47540"/>
  <c r="D1159" i="47540"/>
  <c r="D1203" i="47540"/>
  <c r="D1235" i="47540"/>
  <c r="D1271" i="47540"/>
  <c r="D40" i="47540"/>
  <c r="D111" i="47540"/>
  <c r="D168" i="47540"/>
  <c r="D247" i="47540"/>
  <c r="D311" i="47540"/>
  <c r="D375" i="47540"/>
  <c r="D452" i="47540"/>
  <c r="D509" i="47540"/>
  <c r="D573" i="47540"/>
  <c r="D652" i="47540"/>
  <c r="D716" i="47540"/>
  <c r="D772" i="47540"/>
  <c r="D851" i="47540"/>
  <c r="D915" i="47540"/>
  <c r="D985" i="47540"/>
  <c r="D1052" i="47540"/>
  <c r="D1094" i="47540"/>
  <c r="D1132" i="47540"/>
  <c r="D1174" i="47540"/>
  <c r="D1212" i="47540"/>
  <c r="D1244" i="47540"/>
  <c r="D1286" i="47540"/>
  <c r="D1319" i="47540"/>
  <c r="D1347" i="47540"/>
  <c r="D1379" i="47540"/>
  <c r="D1403" i="47540"/>
  <c r="D1431" i="47540"/>
  <c r="D419" i="47540"/>
  <c r="D73" i="47540"/>
  <c r="D116" i="47540"/>
  <c r="D173" i="47540"/>
  <c r="D223" i="47540"/>
  <c r="D273" i="47540"/>
  <c r="D329" i="47540"/>
  <c r="D372" i="47540"/>
  <c r="D423" i="47540"/>
  <c r="D479" i="47540"/>
  <c r="D529" i="47540"/>
  <c r="D572" i="47540"/>
  <c r="D628" i="47540"/>
  <c r="D679" i="47540"/>
  <c r="D728" i="47540"/>
  <c r="D785" i="47540"/>
  <c r="D828" i="47540"/>
  <c r="D877" i="47540"/>
  <c r="D935" i="47540"/>
  <c r="D984" i="47540"/>
  <c r="D1027" i="47540"/>
  <c r="D1072" i="47540"/>
  <c r="D1109" i="47540"/>
  <c r="D1146" i="47540"/>
  <c r="D1189" i="47540"/>
  <c r="D1221" i="47540"/>
  <c r="D1258" i="47540"/>
  <c r="D1301" i="47540"/>
  <c r="D1330" i="47540"/>
  <c r="D1354" i="47540"/>
  <c r="D1386" i="47540"/>
  <c r="D1414" i="47540"/>
  <c r="D1442" i="47540"/>
  <c r="D65" i="47540"/>
  <c r="D108" i="47540"/>
  <c r="D157" i="47540"/>
  <c r="D215" i="47540"/>
  <c r="D264" i="47540"/>
  <c r="D307" i="47540"/>
  <c r="D349" i="47540"/>
  <c r="D385" i="47540"/>
  <c r="D420" i="47540"/>
  <c r="D463" i="47540"/>
  <c r="D499" i="47540"/>
  <c r="D535" i="47540"/>
  <c r="D577" i="47540"/>
  <c r="D612" i="47540"/>
  <c r="D648" i="47540"/>
  <c r="D691" i="47540"/>
  <c r="D727" i="47540"/>
  <c r="D761" i="47540"/>
  <c r="D804" i="47540"/>
  <c r="D840" i="47540"/>
  <c r="D876" i="47540"/>
  <c r="D919" i="47540"/>
  <c r="D953" i="47540"/>
  <c r="D989" i="47540"/>
  <c r="D1032" i="47540"/>
  <c r="D1060" i="47540"/>
  <c r="D1086" i="47540"/>
  <c r="D1118" i="47540"/>
  <c r="D1145" i="47540"/>
  <c r="D1172" i="47540"/>
  <c r="D1204" i="47540"/>
  <c r="D1230" i="47540"/>
  <c r="D1257" i="47540"/>
  <c r="D1289" i="47540"/>
  <c r="D1313" i="47540"/>
  <c r="D1333" i="47540"/>
  <c r="D1357" i="47540"/>
  <c r="D1373" i="47540"/>
  <c r="D1389" i="47540"/>
  <c r="D1405" i="47540"/>
  <c r="D1421" i="47540"/>
  <c r="D1437" i="47540"/>
  <c r="D32" i="47540"/>
  <c r="D71" i="47540"/>
  <c r="D99" i="47540"/>
  <c r="D127" i="47540"/>
  <c r="D156" i="47540"/>
  <c r="D184" i="47540"/>
  <c r="D212" i="47540"/>
  <c r="D241" i="47540"/>
  <c r="D269" i="47540"/>
  <c r="D297" i="47540"/>
  <c r="D327" i="47540"/>
  <c r="D361" i="47540"/>
  <c r="D391" i="47540"/>
  <c r="D425" i="47540"/>
  <c r="D519" i="47540"/>
  <c r="D632" i="47540"/>
  <c r="D745" i="47540"/>
  <c r="D860" i="47540"/>
  <c r="D973" i="47540"/>
  <c r="D126" i="47540"/>
  <c r="D566" i="47540"/>
  <c r="D866" i="47540"/>
  <c r="D203" i="47540"/>
  <c r="D565" i="47540"/>
  <c r="D864" i="47540"/>
  <c r="D1099" i="47540"/>
  <c r="D1255" i="47540"/>
  <c r="D204" i="47540"/>
  <c r="D473" i="47540"/>
  <c r="D759" i="47540"/>
  <c r="D1021" i="47540"/>
  <c r="D1190" i="47540"/>
  <c r="D1335" i="47540"/>
  <c r="D1447" i="47540"/>
  <c r="D195" i="47540"/>
  <c r="D401" i="47540"/>
  <c r="D600" i="47540"/>
  <c r="D799" i="47540"/>
  <c r="D1012" i="47540"/>
  <c r="D1168" i="47540"/>
  <c r="D1314" i="47540"/>
  <c r="D1430" i="47540"/>
  <c r="D185" i="47540"/>
  <c r="D364" i="47540"/>
  <c r="D520" i="47540"/>
  <c r="D669" i="47540"/>
  <c r="D819" i="47540"/>
  <c r="D975" i="47540"/>
  <c r="D1102" i="47540"/>
  <c r="D1214" i="47540"/>
  <c r="D1325" i="47540"/>
  <c r="D1397" i="47540"/>
  <c r="D53" i="47540"/>
  <c r="D169" i="47540"/>
  <c r="D284" i="47540"/>
  <c r="D404" i="47540"/>
  <c r="D803" i="47540"/>
  <c r="D1117" i="47540"/>
  <c r="D1288" i="47540"/>
  <c r="D1420" i="47540"/>
  <c r="D596" i="47540"/>
  <c r="D824" i="47540"/>
  <c r="D1048" i="47540"/>
  <c r="D1218" i="47540"/>
  <c r="D1368" i="47540"/>
  <c r="D504" i="47540"/>
  <c r="D732" i="47540"/>
  <c r="D959" i="47540"/>
  <c r="D1149" i="47540"/>
  <c r="D1316" i="47540"/>
  <c r="D1444" i="47540"/>
  <c r="D639" i="47540"/>
  <c r="D867" i="47540"/>
  <c r="D1080" i="47540"/>
  <c r="D1250" i="47540"/>
  <c r="D1392" i="47540"/>
  <c r="D254" i="47540"/>
  <c r="D630" i="47540"/>
  <c r="D930" i="47540"/>
  <c r="D315" i="47540"/>
  <c r="D640" i="47540"/>
  <c r="D939" i="47540"/>
  <c r="D1143" i="47540"/>
  <c r="D1291" i="47540"/>
  <c r="D275" i="47540"/>
  <c r="D545" i="47540"/>
  <c r="D815" i="47540"/>
  <c r="D1068" i="47540"/>
  <c r="D1233" i="47540"/>
  <c r="D1363" i="47540"/>
  <c r="D37" i="47540"/>
  <c r="D252" i="47540"/>
  <c r="D451" i="47540"/>
  <c r="D649" i="47540"/>
  <c r="D856" i="47540"/>
  <c r="D1050" i="47540"/>
  <c r="D1200" i="47540"/>
  <c r="D1346" i="47540"/>
  <c r="D24" i="47540"/>
  <c r="D236" i="47540"/>
  <c r="D407" i="47540"/>
  <c r="D556" i="47540"/>
  <c r="D705" i="47540"/>
  <c r="D861" i="47540"/>
  <c r="D1011" i="47540"/>
  <c r="D1129" i="47540"/>
  <c r="D1246" i="47540"/>
  <c r="D1345" i="47540"/>
  <c r="D1413" i="47540"/>
  <c r="D84" i="47540"/>
  <c r="D199" i="47540"/>
  <c r="D312" i="47540"/>
  <c r="D461" i="47540"/>
  <c r="D916" i="47540"/>
  <c r="D1160" i="47540"/>
  <c r="D1324" i="47540"/>
  <c r="D1452" i="47540"/>
  <c r="D653" i="47540"/>
  <c r="D881" i="47540"/>
  <c r="D1090" i="47540"/>
  <c r="D1261" i="47540"/>
  <c r="D1400" i="47540"/>
  <c r="D561" i="47540"/>
  <c r="D788" i="47540"/>
  <c r="D1016" i="47540"/>
  <c r="D1192" i="47540"/>
  <c r="D1348" i="47540"/>
  <c r="D468" i="47540"/>
  <c r="D696" i="47540"/>
  <c r="D924" i="47540"/>
  <c r="D1122" i="47540"/>
  <c r="D1293" i="47540"/>
  <c r="D1424" i="47540"/>
  <c r="D478" i="47540"/>
  <c r="D790" i="47540"/>
  <c r="D480" i="47540"/>
  <c r="D789" i="47540"/>
  <c r="D1211" i="47540"/>
  <c r="D147" i="47540"/>
  <c r="D680" i="47540"/>
  <c r="D957" i="47540"/>
  <c r="D1302" i="47540"/>
  <c r="D1419" i="47540"/>
  <c r="D344" i="47540"/>
  <c r="D557" i="47540"/>
  <c r="D956" i="47540"/>
  <c r="D1130" i="47540"/>
  <c r="D1398" i="47540"/>
  <c r="D136" i="47540"/>
  <c r="D328" i="47540"/>
  <c r="D633" i="47540"/>
  <c r="D783" i="47540"/>
  <c r="D932" i="47540"/>
  <c r="D1188" i="47540"/>
  <c r="D1300" i="47540"/>
  <c r="D1381" i="47540"/>
  <c r="D141" i="47540"/>
  <c r="D255" i="47540"/>
  <c r="D376" i="47540"/>
  <c r="D1074" i="47540"/>
  <c r="D1245" i="47540"/>
  <c r="D1388" i="47540"/>
  <c r="D540" i="47540"/>
  <c r="D995" i="47540"/>
  <c r="D1176" i="47540"/>
  <c r="D1336" i="47540"/>
  <c r="D447" i="47540"/>
  <c r="D903" i="47540"/>
  <c r="D1106" i="47540"/>
  <c r="D1277" i="47540"/>
  <c r="D1412" i="47540"/>
  <c r="D809" i="47540"/>
  <c r="D1037" i="47540"/>
  <c r="D1208" i="47540"/>
  <c r="D1360" i="47540"/>
  <c r="D366" i="47540"/>
  <c r="D706" i="47540"/>
  <c r="D1014" i="47540"/>
  <c r="D400" i="47540"/>
  <c r="D704" i="47540"/>
  <c r="D1024" i="47540"/>
  <c r="D1179" i="47540"/>
  <c r="D76" i="47540"/>
  <c r="D345" i="47540"/>
  <c r="D616" i="47540"/>
  <c r="D879" i="47540"/>
  <c r="D1116" i="47540"/>
  <c r="D1265" i="47540"/>
  <c r="D1387" i="47540"/>
  <c r="D103" i="47540"/>
  <c r="D301" i="47540"/>
  <c r="D500" i="47540"/>
  <c r="D707" i="47540"/>
  <c r="D905" i="47540"/>
  <c r="D1088" i="47540"/>
  <c r="D1242" i="47540"/>
  <c r="D1370" i="47540"/>
  <c r="D79" i="47540"/>
  <c r="D292" i="47540"/>
  <c r="D441" i="47540"/>
  <c r="D591" i="47540"/>
  <c r="D748" i="47540"/>
  <c r="D897" i="47540"/>
  <c r="D1044" i="47540"/>
  <c r="D1161" i="47540"/>
  <c r="D1273" i="47540"/>
  <c r="D1365" i="47540"/>
  <c r="D1429" i="47540"/>
  <c r="D113" i="47540"/>
  <c r="D227" i="47540"/>
  <c r="D340" i="47540"/>
  <c r="D575" i="47540"/>
  <c r="D1031" i="47540"/>
  <c r="D1202" i="47540"/>
  <c r="D1356" i="47540"/>
  <c r="D483" i="47540"/>
  <c r="D711" i="47540"/>
  <c r="D937" i="47540"/>
  <c r="D1133" i="47540"/>
  <c r="D1304" i="47540"/>
  <c r="D1432" i="47540"/>
  <c r="D617" i="47540"/>
  <c r="D845" i="47540"/>
  <c r="D1064" i="47540"/>
  <c r="D1234" i="47540"/>
  <c r="D1380" i="47540"/>
  <c r="D525" i="47540"/>
  <c r="D753" i="47540"/>
  <c r="D980" i="47540"/>
  <c r="D1165" i="47540"/>
  <c r="D1328" i="47540"/>
  <c r="D30" i="47540"/>
  <c r="D101" i="47540"/>
  <c r="D1063" i="47540"/>
  <c r="D417" i="47540"/>
  <c r="D1153" i="47540"/>
  <c r="D145" i="47540"/>
  <c r="D756" i="47540"/>
  <c r="D1280" i="47540"/>
  <c r="D477" i="47540"/>
  <c r="D1076" i="47540"/>
  <c r="D1445" i="47540"/>
  <c r="D689" i="47540"/>
  <c r="D767" i="47540"/>
  <c r="D675" i="47540"/>
  <c r="D583" i="47540"/>
  <c r="C14" i="47540"/>
  <c r="C30" i="47540"/>
  <c r="C46" i="47540"/>
  <c r="C62" i="47540"/>
  <c r="C78" i="47540"/>
  <c r="C94" i="47540"/>
  <c r="C110" i="47540"/>
  <c r="C126" i="47540"/>
  <c r="C142" i="47540"/>
  <c r="C158" i="47540"/>
  <c r="C174" i="47540"/>
  <c r="C190" i="47540"/>
  <c r="C206" i="47540"/>
  <c r="C222" i="47540"/>
  <c r="C238" i="47540"/>
  <c r="C254" i="47540"/>
  <c r="C270" i="47540"/>
  <c r="C286" i="47540"/>
  <c r="C302" i="47540"/>
  <c r="C318" i="47540"/>
  <c r="C334" i="47540"/>
  <c r="C350" i="47540"/>
  <c r="C366" i="47540"/>
  <c r="C382" i="47540"/>
  <c r="C398" i="47540"/>
  <c r="C414" i="47540"/>
  <c r="C430" i="47540"/>
  <c r="C446" i="47540"/>
  <c r="C462" i="47540"/>
  <c r="C478" i="47540"/>
  <c r="C494" i="47540"/>
  <c r="C510" i="47540"/>
  <c r="C526" i="47540"/>
  <c r="C542" i="47540"/>
  <c r="C558" i="47540"/>
  <c r="C574" i="47540"/>
  <c r="C590" i="47540"/>
  <c r="C606" i="47540"/>
  <c r="C622" i="47540"/>
  <c r="C638" i="47540"/>
  <c r="C654" i="47540"/>
  <c r="C670" i="47540"/>
  <c r="C686" i="47540"/>
  <c r="C702" i="47540"/>
  <c r="C718" i="47540"/>
  <c r="C734" i="47540"/>
  <c r="C750" i="47540"/>
  <c r="C766" i="47540"/>
  <c r="C782" i="47540"/>
  <c r="C798" i="47540"/>
  <c r="C814" i="47540"/>
  <c r="C830" i="47540"/>
  <c r="C846" i="47540"/>
  <c r="C862" i="47540"/>
  <c r="C878" i="47540"/>
  <c r="C894" i="47540"/>
  <c r="C910" i="47540"/>
  <c r="C926" i="47540"/>
  <c r="C942" i="47540"/>
  <c r="C958" i="47540"/>
  <c r="C974" i="47540"/>
  <c r="C990" i="47540"/>
  <c r="C1006" i="47540"/>
  <c r="C1022" i="47540"/>
  <c r="C16" i="47540"/>
  <c r="C37" i="47540"/>
  <c r="C59" i="47540"/>
  <c r="C80" i="47540"/>
  <c r="C101" i="47540"/>
  <c r="C123" i="47540"/>
  <c r="C144" i="47540"/>
  <c r="C165" i="47540"/>
  <c r="C187" i="47540"/>
  <c r="C208" i="47540"/>
  <c r="C229" i="47540"/>
  <c r="C251" i="47540"/>
  <c r="C272" i="47540"/>
  <c r="C293" i="47540"/>
  <c r="C315" i="47540"/>
  <c r="C336" i="47540"/>
  <c r="C357" i="47540"/>
  <c r="C379" i="47540"/>
  <c r="C400" i="47540"/>
  <c r="C421" i="47540"/>
  <c r="C443" i="47540"/>
  <c r="C22" i="47540"/>
  <c r="C38" i="47540"/>
  <c r="C54" i="47540"/>
  <c r="C70" i="47540"/>
  <c r="C86" i="47540"/>
  <c r="C102" i="47540"/>
  <c r="C118" i="47540"/>
  <c r="C134" i="47540"/>
  <c r="C150" i="47540"/>
  <c r="C166" i="47540"/>
  <c r="C182" i="47540"/>
  <c r="C198" i="47540"/>
  <c r="C214" i="47540"/>
  <c r="C230" i="47540"/>
  <c r="C246" i="47540"/>
  <c r="C262" i="47540"/>
  <c r="C278" i="47540"/>
  <c r="C294" i="47540"/>
  <c r="C310" i="47540"/>
  <c r="C326" i="47540"/>
  <c r="C342" i="47540"/>
  <c r="C358" i="47540"/>
  <c r="C374" i="47540"/>
  <c r="C390" i="47540"/>
  <c r="C406" i="47540"/>
  <c r="C422" i="47540"/>
  <c r="C438" i="47540"/>
  <c r="C454" i="47540"/>
  <c r="C470" i="47540"/>
  <c r="C486" i="47540"/>
  <c r="C502" i="47540"/>
  <c r="C518" i="47540"/>
  <c r="C534" i="47540"/>
  <c r="C550" i="47540"/>
  <c r="C566" i="47540"/>
  <c r="C582" i="47540"/>
  <c r="C598" i="47540"/>
  <c r="C614" i="47540"/>
  <c r="C630" i="47540"/>
  <c r="C646" i="47540"/>
  <c r="C662" i="47540"/>
  <c r="C678" i="47540"/>
  <c r="C694" i="47540"/>
  <c r="C710" i="47540"/>
  <c r="C726" i="47540"/>
  <c r="C742" i="47540"/>
  <c r="C758" i="47540"/>
  <c r="C774" i="47540"/>
  <c r="C790" i="47540"/>
  <c r="C806" i="47540"/>
  <c r="C822" i="47540"/>
  <c r="C838" i="47540"/>
  <c r="C854" i="47540"/>
  <c r="C870" i="47540"/>
  <c r="C886" i="47540"/>
  <c r="C902" i="47540"/>
  <c r="C918" i="47540"/>
  <c r="C934" i="47540"/>
  <c r="C950" i="47540"/>
  <c r="C966" i="47540"/>
  <c r="C982" i="47540"/>
  <c r="C998" i="47540"/>
  <c r="C1014" i="47540"/>
  <c r="C1030" i="47540"/>
  <c r="C27" i="47540"/>
  <c r="C48" i="47540"/>
  <c r="C69" i="47540"/>
  <c r="C91" i="47540"/>
  <c r="C112" i="47540"/>
  <c r="C133" i="47540"/>
  <c r="C155" i="47540"/>
  <c r="C176" i="47540"/>
  <c r="C197" i="47540"/>
  <c r="C219" i="47540"/>
  <c r="C240" i="47540"/>
  <c r="C261" i="47540"/>
  <c r="C283" i="47540"/>
  <c r="C304" i="47540"/>
  <c r="C325" i="47540"/>
  <c r="C347" i="47540"/>
  <c r="C368" i="47540"/>
  <c r="C389" i="47540"/>
  <c r="C411" i="47540"/>
  <c r="C432" i="47540"/>
  <c r="C453" i="47540"/>
  <c r="C34" i="47540"/>
  <c r="C66" i="47540"/>
  <c r="C98" i="47540"/>
  <c r="C130" i="47540"/>
  <c r="C162" i="47540"/>
  <c r="C194" i="47540"/>
  <c r="C226" i="47540"/>
  <c r="C258" i="47540"/>
  <c r="C290" i="47540"/>
  <c r="C322" i="47540"/>
  <c r="C354" i="47540"/>
  <c r="C386" i="47540"/>
  <c r="C418" i="47540"/>
  <c r="C450" i="47540"/>
  <c r="C482" i="47540"/>
  <c r="C514" i="47540"/>
  <c r="C546" i="47540"/>
  <c r="C578" i="47540"/>
  <c r="C610" i="47540"/>
  <c r="C642" i="47540"/>
  <c r="C674" i="47540"/>
  <c r="C706" i="47540"/>
  <c r="C738" i="47540"/>
  <c r="C770" i="47540"/>
  <c r="C802" i="47540"/>
  <c r="C834" i="47540"/>
  <c r="C866" i="47540"/>
  <c r="C898" i="47540"/>
  <c r="C930" i="47540"/>
  <c r="C962" i="47540"/>
  <c r="C994" i="47540"/>
  <c r="C1026" i="47540"/>
  <c r="C43" i="47540"/>
  <c r="C85" i="47540"/>
  <c r="C128" i="47540"/>
  <c r="C171" i="47540"/>
  <c r="C213" i="47540"/>
  <c r="C256" i="47540"/>
  <c r="C299" i="47540"/>
  <c r="C341" i="47540"/>
  <c r="C384" i="47540"/>
  <c r="C427" i="47540"/>
  <c r="C464" i="47540"/>
  <c r="C485" i="47540"/>
  <c r="C507" i="47540"/>
  <c r="C528" i="47540"/>
  <c r="C549" i="47540"/>
  <c r="C571" i="47540"/>
  <c r="C592" i="47540"/>
  <c r="C613" i="47540"/>
  <c r="C635" i="47540"/>
  <c r="C656" i="47540"/>
  <c r="C677" i="47540"/>
  <c r="C699" i="47540"/>
  <c r="C720" i="47540"/>
  <c r="C741" i="47540"/>
  <c r="C763" i="47540"/>
  <c r="C784" i="47540"/>
  <c r="C805" i="47540"/>
  <c r="C827" i="47540"/>
  <c r="C848" i="47540"/>
  <c r="C869" i="47540"/>
  <c r="C891" i="47540"/>
  <c r="C912" i="47540"/>
  <c r="C933" i="47540"/>
  <c r="C955" i="47540"/>
  <c r="C976" i="47540"/>
  <c r="C997" i="47540"/>
  <c r="C1019" i="47540"/>
  <c r="C1039" i="47540"/>
  <c r="C1055" i="47540"/>
  <c r="C1071" i="47540"/>
  <c r="C1087" i="47540"/>
  <c r="C1103" i="47540"/>
  <c r="C1119" i="47540"/>
  <c r="C1135" i="47540"/>
  <c r="C1151" i="47540"/>
  <c r="C1167" i="47540"/>
  <c r="C1183" i="47540"/>
  <c r="C1199" i="47540"/>
  <c r="C1215" i="47540"/>
  <c r="C1231" i="47540"/>
  <c r="C1247" i="47540"/>
  <c r="C1263" i="47540"/>
  <c r="C1279" i="47540"/>
  <c r="C42" i="47540"/>
  <c r="C82" i="47540"/>
  <c r="C122" i="47540"/>
  <c r="C170" i="47540"/>
  <c r="C210" i="47540"/>
  <c r="C250" i="47540"/>
  <c r="C298" i="47540"/>
  <c r="C338" i="47540"/>
  <c r="C378" i="47540"/>
  <c r="C426" i="47540"/>
  <c r="C466" i="47540"/>
  <c r="C506" i="47540"/>
  <c r="C554" i="47540"/>
  <c r="C594" i="47540"/>
  <c r="C634" i="47540"/>
  <c r="C682" i="47540"/>
  <c r="C722" i="47540"/>
  <c r="C762" i="47540"/>
  <c r="C810" i="47540"/>
  <c r="C850" i="47540"/>
  <c r="C890" i="47540"/>
  <c r="C938" i="47540"/>
  <c r="C978" i="47540"/>
  <c r="C1018" i="47540"/>
  <c r="C53" i="47540"/>
  <c r="C107" i="47540"/>
  <c r="C160" i="47540"/>
  <c r="C224" i="47540"/>
  <c r="C277" i="47540"/>
  <c r="C331" i="47540"/>
  <c r="C395" i="47540"/>
  <c r="C448" i="47540"/>
  <c r="C480" i="47540"/>
  <c r="C512" i="47540"/>
  <c r="C539" i="47540"/>
  <c r="C565" i="47540"/>
  <c r="C597" i="47540"/>
  <c r="C624" i="47540"/>
  <c r="C651" i="47540"/>
  <c r="C683" i="47540"/>
  <c r="C709" i="47540"/>
  <c r="C736" i="47540"/>
  <c r="C768" i="47540"/>
  <c r="C795" i="47540"/>
  <c r="C821" i="47540"/>
  <c r="C853" i="47540"/>
  <c r="C880" i="47540"/>
  <c r="C907" i="47540"/>
  <c r="C939" i="47540"/>
  <c r="C965" i="47540"/>
  <c r="C992" i="47540"/>
  <c r="C1024" i="47540"/>
  <c r="C1047" i="47540"/>
  <c r="C1067" i="47540"/>
  <c r="C1091" i="47540"/>
  <c r="C1111" i="47540"/>
  <c r="C1131" i="47540"/>
  <c r="C1155" i="47540"/>
  <c r="C1175" i="47540"/>
  <c r="C1195" i="47540"/>
  <c r="C1219" i="47540"/>
  <c r="C1239" i="47540"/>
  <c r="C1259" i="47540"/>
  <c r="C1283" i="47540"/>
  <c r="C20" i="47540"/>
  <c r="C41" i="47540"/>
  <c r="C63" i="47540"/>
  <c r="C84" i="47540"/>
  <c r="C105" i="47540"/>
  <c r="C127" i="47540"/>
  <c r="C148" i="47540"/>
  <c r="C169" i="47540"/>
  <c r="C191" i="47540"/>
  <c r="C212" i="47540"/>
  <c r="C233" i="47540"/>
  <c r="C255" i="47540"/>
  <c r="C276" i="47540"/>
  <c r="C297" i="47540"/>
  <c r="C319" i="47540"/>
  <c r="C340" i="47540"/>
  <c r="C361" i="47540"/>
  <c r="C383" i="47540"/>
  <c r="C404" i="47540"/>
  <c r="C425" i="47540"/>
  <c r="C447" i="47540"/>
  <c r="C468" i="47540"/>
  <c r="C489" i="47540"/>
  <c r="C511" i="47540"/>
  <c r="C532" i="47540"/>
  <c r="C553" i="47540"/>
  <c r="C575" i="47540"/>
  <c r="C596" i="47540"/>
  <c r="C617" i="47540"/>
  <c r="C639" i="47540"/>
  <c r="C660" i="47540"/>
  <c r="C681" i="47540"/>
  <c r="C703" i="47540"/>
  <c r="C724" i="47540"/>
  <c r="C745" i="47540"/>
  <c r="C767" i="47540"/>
  <c r="C788" i="47540"/>
  <c r="C809" i="47540"/>
  <c r="C831" i="47540"/>
  <c r="C852" i="47540"/>
  <c r="C873" i="47540"/>
  <c r="C895" i="47540"/>
  <c r="C916" i="47540"/>
  <c r="C937" i="47540"/>
  <c r="C959" i="47540"/>
  <c r="C980" i="47540"/>
  <c r="C1001" i="47540"/>
  <c r="C1023" i="47540"/>
  <c r="C1042" i="47540"/>
  <c r="C1058" i="47540"/>
  <c r="C1074" i="47540"/>
  <c r="C1090" i="47540"/>
  <c r="C1106" i="47540"/>
  <c r="C1122" i="47540"/>
  <c r="C1138" i="47540"/>
  <c r="C1154" i="47540"/>
  <c r="C1170" i="47540"/>
  <c r="C1186" i="47540"/>
  <c r="C1202" i="47540"/>
  <c r="C1218" i="47540"/>
  <c r="C1234" i="47540"/>
  <c r="C1250" i="47540"/>
  <c r="C1266" i="47540"/>
  <c r="C1282" i="47540"/>
  <c r="C1298" i="47540"/>
  <c r="C1314" i="47540"/>
  <c r="C1330" i="47540"/>
  <c r="C1346" i="47540"/>
  <c r="C1362" i="47540"/>
  <c r="C1378" i="47540"/>
  <c r="C1394" i="47540"/>
  <c r="C51" i="47540"/>
  <c r="C93" i="47540"/>
  <c r="C136" i="47540"/>
  <c r="C179" i="47540"/>
  <c r="C221" i="47540"/>
  <c r="C264" i="47540"/>
  <c r="C307" i="47540"/>
  <c r="C349" i="47540"/>
  <c r="C392" i="47540"/>
  <c r="C435" i="47540"/>
  <c r="C477" i="47540"/>
  <c r="C520" i="47540"/>
  <c r="C563" i="47540"/>
  <c r="C605" i="47540"/>
  <c r="C648" i="47540"/>
  <c r="C691" i="47540"/>
  <c r="C733" i="47540"/>
  <c r="C776" i="47540"/>
  <c r="C819" i="47540"/>
  <c r="C861" i="47540"/>
  <c r="C904" i="47540"/>
  <c r="C947" i="47540"/>
  <c r="C989" i="47540"/>
  <c r="C1032" i="47540"/>
  <c r="C1065" i="47540"/>
  <c r="C1097" i="47540"/>
  <c r="C1129" i="47540"/>
  <c r="C1161" i="47540"/>
  <c r="C1193" i="47540"/>
  <c r="C1225" i="47540"/>
  <c r="C1257" i="47540"/>
  <c r="C1289" i="47540"/>
  <c r="C1312" i="47540"/>
  <c r="C1333" i="47540"/>
  <c r="C1355" i="47540"/>
  <c r="C18" i="47540"/>
  <c r="C74" i="47540"/>
  <c r="C138" i="47540"/>
  <c r="C186" i="47540"/>
  <c r="C242" i="47540"/>
  <c r="C306" i="47540"/>
  <c r="C362" i="47540"/>
  <c r="C410" i="47540"/>
  <c r="C474" i="47540"/>
  <c r="C530" i="47540"/>
  <c r="C586" i="47540"/>
  <c r="C650" i="47540"/>
  <c r="C698" i="47540"/>
  <c r="C754" i="47540"/>
  <c r="C818" i="47540"/>
  <c r="C874" i="47540"/>
  <c r="C922" i="47540"/>
  <c r="C986" i="47540"/>
  <c r="C21" i="47540"/>
  <c r="C96" i="47540"/>
  <c r="C181" i="47540"/>
  <c r="C245" i="47540"/>
  <c r="C320" i="47540"/>
  <c r="C405" i="47540"/>
  <c r="C469" i="47540"/>
  <c r="C501" i="47540"/>
  <c r="C544" i="47540"/>
  <c r="C581" i="47540"/>
  <c r="C619" i="47540"/>
  <c r="C661" i="47540"/>
  <c r="C693" i="47540"/>
  <c r="C731" i="47540"/>
  <c r="C773" i="47540"/>
  <c r="C811" i="47540"/>
  <c r="C843" i="47540"/>
  <c r="C885" i="47540"/>
  <c r="C923" i="47540"/>
  <c r="C960" i="47540"/>
  <c r="C1003" i="47540"/>
  <c r="C1035" i="47540"/>
  <c r="C1063" i="47540"/>
  <c r="C1095" i="47540"/>
  <c r="C1123" i="47540"/>
  <c r="C1147" i="47540"/>
  <c r="C1179" i="47540"/>
  <c r="C1207" i="47540"/>
  <c r="C1235" i="47540"/>
  <c r="C1267" i="47540"/>
  <c r="C1291" i="47540"/>
  <c r="C36" i="47540"/>
  <c r="C68" i="47540"/>
  <c r="C95" i="47540"/>
  <c r="C121" i="47540"/>
  <c r="C153" i="47540"/>
  <c r="C180" i="47540"/>
  <c r="C207" i="47540"/>
  <c r="C239" i="47540"/>
  <c r="C265" i="47540"/>
  <c r="C292" i="47540"/>
  <c r="C324" i="47540"/>
  <c r="C351" i="47540"/>
  <c r="C377" i="47540"/>
  <c r="C409" i="47540"/>
  <c r="C436" i="47540"/>
  <c r="C463" i="47540"/>
  <c r="C495" i="47540"/>
  <c r="C521" i="47540"/>
  <c r="C548" i="47540"/>
  <c r="C580" i="47540"/>
  <c r="C607" i="47540"/>
  <c r="C633" i="47540"/>
  <c r="C665" i="47540"/>
  <c r="C692" i="47540"/>
  <c r="C719" i="47540"/>
  <c r="C751" i="47540"/>
  <c r="C777" i="47540"/>
  <c r="C804" i="47540"/>
  <c r="C836" i="47540"/>
  <c r="C863" i="47540"/>
  <c r="C889" i="47540"/>
  <c r="C921" i="47540"/>
  <c r="C948" i="47540"/>
  <c r="C975" i="47540"/>
  <c r="C1007" i="47540"/>
  <c r="C1033" i="47540"/>
  <c r="C1054" i="47540"/>
  <c r="C1078" i="47540"/>
  <c r="C1098" i="47540"/>
  <c r="C1118" i="47540"/>
  <c r="C1142" i="47540"/>
  <c r="C1162" i="47540"/>
  <c r="C1182" i="47540"/>
  <c r="C1206" i="47540"/>
  <c r="C1226" i="47540"/>
  <c r="C1246" i="47540"/>
  <c r="C1270" i="47540"/>
  <c r="C1290" i="47540"/>
  <c r="C1310" i="47540"/>
  <c r="C1334" i="47540"/>
  <c r="C1354" i="47540"/>
  <c r="C1374" i="47540"/>
  <c r="C19" i="47540"/>
  <c r="C72" i="47540"/>
  <c r="C125" i="47540"/>
  <c r="C189" i="47540"/>
  <c r="C243" i="47540"/>
  <c r="C296" i="47540"/>
  <c r="C360" i="47540"/>
  <c r="C413" i="47540"/>
  <c r="C467" i="47540"/>
  <c r="C531" i="47540"/>
  <c r="C584" i="47540"/>
  <c r="C637" i="47540"/>
  <c r="C701" i="47540"/>
  <c r="C755" i="47540"/>
  <c r="C808" i="47540"/>
  <c r="C872" i="47540"/>
  <c r="C925" i="47540"/>
  <c r="C979" i="47540"/>
  <c r="C1041" i="47540"/>
  <c r="C1081" i="47540"/>
  <c r="C1121" i="47540"/>
  <c r="C1169" i="47540"/>
  <c r="C1209" i="47540"/>
  <c r="C1249" i="47540"/>
  <c r="C1296" i="47540"/>
  <c r="C1323" i="47540"/>
  <c r="C1349" i="47540"/>
  <c r="C1376" i="47540"/>
  <c r="C1397" i="47540"/>
  <c r="C1413" i="47540"/>
  <c r="C1429" i="47540"/>
  <c r="C1445" i="47540"/>
  <c r="C653" i="47540"/>
  <c r="C749" i="47540"/>
  <c r="C835" i="47540"/>
  <c r="C920" i="47540"/>
  <c r="C1005" i="47540"/>
  <c r="C1077" i="47540"/>
  <c r="C1141" i="47540"/>
  <c r="C1189" i="47540"/>
  <c r="C1253" i="47540"/>
  <c r="C1309" i="47540"/>
  <c r="C1352" i="47540"/>
  <c r="C1395" i="47540"/>
  <c r="C1427" i="47540"/>
  <c r="C716" i="47540"/>
  <c r="C1015" i="47540"/>
  <c r="C1084" i="47540"/>
  <c r="C1148" i="47540"/>
  <c r="C1212" i="47540"/>
  <c r="C1276" i="47540"/>
  <c r="C1324" i="47540"/>
  <c r="C1367" i="47540"/>
  <c r="C1402" i="47540"/>
  <c r="C1430" i="47540"/>
  <c r="C28" i="47540"/>
  <c r="C71" i="47540"/>
  <c r="C113" i="47540"/>
  <c r="C156" i="47540"/>
  <c r="C199" i="47540"/>
  <c r="C241" i="47540"/>
  <c r="C284" i="47540"/>
  <c r="C327" i="47540"/>
  <c r="C369" i="47540"/>
  <c r="C412" i="47540"/>
  <c r="C455" i="47540"/>
  <c r="C497" i="47540"/>
  <c r="C540" i="47540"/>
  <c r="C583" i="47540"/>
  <c r="C50" i="47540"/>
  <c r="C106" i="47540"/>
  <c r="C154" i="47540"/>
  <c r="C218" i="47540"/>
  <c r="C274" i="47540"/>
  <c r="C330" i="47540"/>
  <c r="C394" i="47540"/>
  <c r="C442" i="47540"/>
  <c r="C498" i="47540"/>
  <c r="C562" i="47540"/>
  <c r="C618" i="47540"/>
  <c r="C666" i="47540"/>
  <c r="C730" i="47540"/>
  <c r="C786" i="47540"/>
  <c r="C842" i="47540"/>
  <c r="C906" i="47540"/>
  <c r="C954" i="47540"/>
  <c r="C1010" i="47540"/>
  <c r="C64" i="47540"/>
  <c r="C139" i="47540"/>
  <c r="C203" i="47540"/>
  <c r="C288" i="47540"/>
  <c r="C363" i="47540"/>
  <c r="C437" i="47540"/>
  <c r="C491" i="47540"/>
  <c r="C523" i="47540"/>
  <c r="C560" i="47540"/>
  <c r="C603" i="47540"/>
  <c r="C640" i="47540"/>
  <c r="C672" i="47540"/>
  <c r="C715" i="47540"/>
  <c r="C752" i="47540"/>
  <c r="C789" i="47540"/>
  <c r="C832" i="47540"/>
  <c r="C864" i="47540"/>
  <c r="C901" i="47540"/>
  <c r="C944" i="47540"/>
  <c r="C981" i="47540"/>
  <c r="C1013" i="47540"/>
  <c r="C1051" i="47540"/>
  <c r="C1079" i="47540"/>
  <c r="C1107" i="47540"/>
  <c r="C1139" i="47540"/>
  <c r="C1163" i="47540"/>
  <c r="C1191" i="47540"/>
  <c r="C1223" i="47540"/>
  <c r="C1251" i="47540"/>
  <c r="C1275" i="47540"/>
  <c r="C25" i="47540"/>
  <c r="C52" i="47540"/>
  <c r="C79" i="47540"/>
  <c r="C111" i="47540"/>
  <c r="C137" i="47540"/>
  <c r="C164" i="47540"/>
  <c r="C196" i="47540"/>
  <c r="C223" i="47540"/>
  <c r="C249" i="47540"/>
  <c r="C281" i="47540"/>
  <c r="C308" i="47540"/>
  <c r="C335" i="47540"/>
  <c r="C367" i="47540"/>
  <c r="C393" i="47540"/>
  <c r="C420" i="47540"/>
  <c r="C452" i="47540"/>
  <c r="C479" i="47540"/>
  <c r="C505" i="47540"/>
  <c r="C537" i="47540"/>
  <c r="C564" i="47540"/>
  <c r="C591" i="47540"/>
  <c r="C623" i="47540"/>
  <c r="C649" i="47540"/>
  <c r="C676" i="47540"/>
  <c r="C708" i="47540"/>
  <c r="C735" i="47540"/>
  <c r="C761" i="47540"/>
  <c r="C793" i="47540"/>
  <c r="C820" i="47540"/>
  <c r="C847" i="47540"/>
  <c r="C879" i="47540"/>
  <c r="C905" i="47540"/>
  <c r="C932" i="47540"/>
  <c r="C964" i="47540"/>
  <c r="C991" i="47540"/>
  <c r="C1017" i="47540"/>
  <c r="C1046" i="47540"/>
  <c r="C1066" i="47540"/>
  <c r="C1086" i="47540"/>
  <c r="C1110" i="47540"/>
  <c r="C1130" i="47540"/>
  <c r="C1150" i="47540"/>
  <c r="C1174" i="47540"/>
  <c r="C1194" i="47540"/>
  <c r="C1214" i="47540"/>
  <c r="C1238" i="47540"/>
  <c r="C1258" i="47540"/>
  <c r="C1278" i="47540"/>
  <c r="C1302" i="47540"/>
  <c r="C1322" i="47540"/>
  <c r="C1342" i="47540"/>
  <c r="C1366" i="47540"/>
  <c r="C1386" i="47540"/>
  <c r="C40" i="47540"/>
  <c r="C104" i="47540"/>
  <c r="C157" i="47540"/>
  <c r="C211" i="47540"/>
  <c r="C275" i="47540"/>
  <c r="C328" i="47540"/>
  <c r="C381" i="47540"/>
  <c r="C445" i="47540"/>
  <c r="C499" i="47540"/>
  <c r="C552" i="47540"/>
  <c r="C616" i="47540"/>
  <c r="C669" i="47540"/>
  <c r="C723" i="47540"/>
  <c r="C787" i="47540"/>
  <c r="C840" i="47540"/>
  <c r="C893" i="47540"/>
  <c r="C957" i="47540"/>
  <c r="C1011" i="47540"/>
  <c r="C1057" i="47540"/>
  <c r="C1105" i="47540"/>
  <c r="C1145" i="47540"/>
  <c r="C1185" i="47540"/>
  <c r="C1233" i="47540"/>
  <c r="C1273" i="47540"/>
  <c r="C1307" i="47540"/>
  <c r="C1339" i="47540"/>
  <c r="C1365" i="47540"/>
  <c r="C1387" i="47540"/>
  <c r="C1405" i="47540"/>
  <c r="C1421" i="47540"/>
  <c r="C1437" i="47540"/>
  <c r="C152" i="47540"/>
  <c r="C707" i="47540"/>
  <c r="C792" i="47540"/>
  <c r="C877" i="47540"/>
  <c r="C963" i="47540"/>
  <c r="C1045" i="47540"/>
  <c r="C1109" i="47540"/>
  <c r="C1165" i="47540"/>
  <c r="C1221" i="47540"/>
  <c r="C1285" i="47540"/>
  <c r="C1331" i="47540"/>
  <c r="C1373" i="47540"/>
  <c r="C1411" i="47540"/>
  <c r="C1443" i="47540"/>
  <c r="C961" i="47540"/>
  <c r="C1052" i="47540"/>
  <c r="C1116" i="47540"/>
  <c r="C1180" i="47540"/>
  <c r="C1244" i="47540"/>
  <c r="C1303" i="47540"/>
  <c r="C1345" i="47540"/>
  <c r="C1388" i="47540"/>
  <c r="C1414" i="47540"/>
  <c r="C1446" i="47540"/>
  <c r="C49" i="47540"/>
  <c r="C92" i="47540"/>
  <c r="C135" i="47540"/>
  <c r="C177" i="47540"/>
  <c r="C220" i="47540"/>
  <c r="C263" i="47540"/>
  <c r="C305" i="47540"/>
  <c r="C348" i="47540"/>
  <c r="C391" i="47540"/>
  <c r="C433" i="47540"/>
  <c r="C476" i="47540"/>
  <c r="C519" i="47540"/>
  <c r="C561" i="47540"/>
  <c r="C604" i="47540"/>
  <c r="C647" i="47540"/>
  <c r="C689" i="47540"/>
  <c r="C732" i="47540"/>
  <c r="C775" i="47540"/>
  <c r="C817" i="47540"/>
  <c r="C860" i="47540"/>
  <c r="C903" i="47540"/>
  <c r="C945" i="47540"/>
  <c r="C988" i="47540"/>
  <c r="C1031" i="47540"/>
  <c r="C1064" i="47540"/>
  <c r="C1096" i="47540"/>
  <c r="C1128" i="47540"/>
  <c r="C1160" i="47540"/>
  <c r="C1192" i="47540"/>
  <c r="C1224" i="47540"/>
  <c r="C1256" i="47540"/>
  <c r="C1288" i="47540"/>
  <c r="C1311" i="47540"/>
  <c r="C1332" i="47540"/>
  <c r="C1353" i="47540"/>
  <c r="C1375" i="47540"/>
  <c r="C1396" i="47540"/>
  <c r="C1412" i="47540"/>
  <c r="C1428" i="47540"/>
  <c r="C1444" i="47540"/>
  <c r="C24" i="47540"/>
  <c r="C67" i="47540"/>
  <c r="C109" i="47540"/>
  <c r="C163" i="47540"/>
  <c r="C205" i="47540"/>
  <c r="C248" i="47540"/>
  <c r="C291" i="47540"/>
  <c r="C333" i="47540"/>
  <c r="C376" i="47540"/>
  <c r="C419" i="47540"/>
  <c r="C461" i="47540"/>
  <c r="C504" i="47540"/>
  <c r="C547" i="47540"/>
  <c r="C600" i="47540"/>
  <c r="C643" i="47540"/>
  <c r="C717" i="47540"/>
  <c r="C803" i="47540"/>
  <c r="C888" i="47540"/>
  <c r="C973" i="47540"/>
  <c r="C1053" i="47540"/>
  <c r="C1117" i="47540"/>
  <c r="C1197" i="47540"/>
  <c r="C1261" i="47540"/>
  <c r="C1315" i="47540"/>
  <c r="C1357" i="47540"/>
  <c r="C1399" i="47540"/>
  <c r="C1431" i="47540"/>
  <c r="C33" i="47540"/>
  <c r="C76" i="47540"/>
  <c r="C119" i="47540"/>
  <c r="C161" i="47540"/>
  <c r="C204" i="47540"/>
  <c r="C247" i="47540"/>
  <c r="C289" i="47540"/>
  <c r="C332" i="47540"/>
  <c r="C375" i="47540"/>
  <c r="C417" i="47540"/>
  <c r="C460" i="47540"/>
  <c r="C503" i="47540"/>
  <c r="C545" i="47540"/>
  <c r="C588" i="47540"/>
  <c r="C631" i="47540"/>
  <c r="C673" i="47540"/>
  <c r="C727" i="47540"/>
  <c r="C769" i="47540"/>
  <c r="C812" i="47540"/>
  <c r="C855" i="47540"/>
  <c r="C908" i="47540"/>
  <c r="C951" i="47540"/>
  <c r="C1025" i="47540"/>
  <c r="C1092" i="47540"/>
  <c r="C1156" i="47540"/>
  <c r="C1220" i="47540"/>
  <c r="C1284" i="47540"/>
  <c r="C1329" i="47540"/>
  <c r="C1372" i="47540"/>
  <c r="C1418" i="47540"/>
  <c r="C1450" i="47540"/>
  <c r="C58" i="47540"/>
  <c r="C178" i="47540"/>
  <c r="C282" i="47540"/>
  <c r="C402" i="47540"/>
  <c r="C522" i="47540"/>
  <c r="C626" i="47540"/>
  <c r="C746" i="47540"/>
  <c r="C858" i="47540"/>
  <c r="C970" i="47540"/>
  <c r="C75" i="47540"/>
  <c r="C235" i="47540"/>
  <c r="C373" i="47540"/>
  <c r="C496" i="47540"/>
  <c r="C576" i="47540"/>
  <c r="C645" i="47540"/>
  <c r="C725" i="47540"/>
  <c r="C800" i="47540"/>
  <c r="C875" i="47540"/>
  <c r="C949" i="47540"/>
  <c r="C1029" i="47540"/>
  <c r="C1083" i="47540"/>
  <c r="C1143" i="47540"/>
  <c r="C1203" i="47540"/>
  <c r="C1255" i="47540"/>
  <c r="C31" i="47540"/>
  <c r="C89" i="47540"/>
  <c r="C143" i="47540"/>
  <c r="C201" i="47540"/>
  <c r="C260" i="47540"/>
  <c r="C313" i="47540"/>
  <c r="C372" i="47540"/>
  <c r="C431" i="47540"/>
  <c r="C484" i="47540"/>
  <c r="C543" i="47540"/>
  <c r="C601" i="47540"/>
  <c r="C655" i="47540"/>
  <c r="C713" i="47540"/>
  <c r="C772" i="47540"/>
  <c r="C825" i="47540"/>
  <c r="C884" i="47540"/>
  <c r="C943" i="47540"/>
  <c r="C996" i="47540"/>
  <c r="C1050" i="47540"/>
  <c r="C1094" i="47540"/>
  <c r="C1134" i="47540"/>
  <c r="C1178" i="47540"/>
  <c r="C1222" i="47540"/>
  <c r="C1262" i="47540"/>
  <c r="C1306" i="47540"/>
  <c r="C1350" i="47540"/>
  <c r="C1390" i="47540"/>
  <c r="C115" i="47540"/>
  <c r="C232" i="47540"/>
  <c r="C339" i="47540"/>
  <c r="C456" i="47540"/>
  <c r="C573" i="47540"/>
  <c r="C680" i="47540"/>
  <c r="C797" i="47540"/>
  <c r="C915" i="47540"/>
  <c r="C1021" i="47540"/>
  <c r="C1113" i="47540"/>
  <c r="C1201" i="47540"/>
  <c r="C1281" i="47540"/>
  <c r="C1344" i="47540"/>
  <c r="C1392" i="47540"/>
  <c r="C1425" i="47540"/>
  <c r="C568" i="47540"/>
  <c r="C813" i="47540"/>
  <c r="C984" i="47540"/>
  <c r="C1125" i="47540"/>
  <c r="C1237" i="47540"/>
  <c r="C1341" i="47540"/>
  <c r="C1419" i="47540"/>
  <c r="C993" i="47540"/>
  <c r="C1132" i="47540"/>
  <c r="C1260" i="47540"/>
  <c r="C1356" i="47540"/>
  <c r="C1422" i="47540"/>
  <c r="C60" i="47540"/>
  <c r="C145" i="47540"/>
  <c r="C231" i="47540"/>
  <c r="C316" i="47540"/>
  <c r="C401" i="47540"/>
  <c r="C487" i="47540"/>
  <c r="C572" i="47540"/>
  <c r="C26" i="47540"/>
  <c r="C202" i="47540"/>
  <c r="C346" i="47540"/>
  <c r="C490" i="47540"/>
  <c r="C658" i="47540"/>
  <c r="C794" i="47540"/>
  <c r="C946" i="47540"/>
  <c r="C117" i="47540"/>
  <c r="C309" i="47540"/>
  <c r="C475" i="47540"/>
  <c r="C587" i="47540"/>
  <c r="C688" i="47540"/>
  <c r="C779" i="47540"/>
  <c r="C896" i="47540"/>
  <c r="C987" i="47540"/>
  <c r="C1075" i="47540"/>
  <c r="C1159" i="47540"/>
  <c r="C1227" i="47540"/>
  <c r="C15" i="47540"/>
  <c r="C100" i="47540"/>
  <c r="C175" i="47540"/>
  <c r="C244" i="47540"/>
  <c r="C329" i="47540"/>
  <c r="C399" i="47540"/>
  <c r="C473" i="47540"/>
  <c r="C559" i="47540"/>
  <c r="C628" i="47540"/>
  <c r="C697" i="47540"/>
  <c r="C783" i="47540"/>
  <c r="C857" i="47540"/>
  <c r="C927" i="47540"/>
  <c r="C1012" i="47540"/>
  <c r="C1070" i="47540"/>
  <c r="C1126" i="47540"/>
  <c r="C1190" i="47540"/>
  <c r="C1242" i="47540"/>
  <c r="C1294" i="47540"/>
  <c r="C1358" i="47540"/>
  <c r="C61" i="47540"/>
  <c r="C200" i="47540"/>
  <c r="C371" i="47540"/>
  <c r="C509" i="47540"/>
  <c r="C659" i="47540"/>
  <c r="C829" i="47540"/>
  <c r="C968" i="47540"/>
  <c r="C1089" i="47540"/>
  <c r="C1217" i="47540"/>
  <c r="C1317" i="47540"/>
  <c r="C1381" i="47540"/>
  <c r="C1433" i="47540"/>
  <c r="C728" i="47540"/>
  <c r="C941" i="47540"/>
  <c r="C1149" i="47540"/>
  <c r="C1299" i="47540"/>
  <c r="C1403" i="47540"/>
  <c r="C1036" i="47540"/>
  <c r="C1196" i="47540"/>
  <c r="C1335" i="47540"/>
  <c r="C1438" i="47540"/>
  <c r="C103" i="47540"/>
  <c r="C209" i="47540"/>
  <c r="C337" i="47540"/>
  <c r="C444" i="47540"/>
  <c r="C551" i="47540"/>
  <c r="C636" i="47540"/>
  <c r="C700" i="47540"/>
  <c r="C753" i="47540"/>
  <c r="C807" i="47540"/>
  <c r="C871" i="47540"/>
  <c r="C924" i="47540"/>
  <c r="C977" i="47540"/>
  <c r="C1040" i="47540"/>
  <c r="C1080" i="47540"/>
  <c r="C1120" i="47540"/>
  <c r="C1168" i="47540"/>
  <c r="C1208" i="47540"/>
  <c r="C1248" i="47540"/>
  <c r="C1295" i="47540"/>
  <c r="C1321" i="47540"/>
  <c r="C1348" i="47540"/>
  <c r="C1380" i="47540"/>
  <c r="C1404" i="47540"/>
  <c r="C1424" i="47540"/>
  <c r="C1448" i="47540"/>
  <c r="C45" i="47540"/>
  <c r="C99" i="47540"/>
  <c r="C173" i="47540"/>
  <c r="C227" i="47540"/>
  <c r="C280" i="47540"/>
  <c r="C344" i="47540"/>
  <c r="C397" i="47540"/>
  <c r="C451" i="47540"/>
  <c r="C515" i="47540"/>
  <c r="C579" i="47540"/>
  <c r="C632" i="47540"/>
  <c r="C739" i="47540"/>
  <c r="C845" i="47540"/>
  <c r="C952" i="47540"/>
  <c r="C1069" i="47540"/>
  <c r="C1157" i="47540"/>
  <c r="C1245" i="47540"/>
  <c r="C1325" i="47540"/>
  <c r="C1379" i="47540"/>
  <c r="C1423" i="47540"/>
  <c r="C44" i="47540"/>
  <c r="C97" i="47540"/>
  <c r="C151" i="47540"/>
  <c r="C215" i="47540"/>
  <c r="C268" i="47540"/>
  <c r="C321" i="47540"/>
  <c r="C385" i="47540"/>
  <c r="C439" i="47540"/>
  <c r="C492" i="47540"/>
  <c r="C556" i="47540"/>
  <c r="C609" i="47540"/>
  <c r="C663" i="47540"/>
  <c r="C737" i="47540"/>
  <c r="C791" i="47540"/>
  <c r="C844" i="47540"/>
  <c r="C919" i="47540"/>
  <c r="C983" i="47540"/>
  <c r="C1076" i="47540"/>
  <c r="C1172" i="47540"/>
  <c r="C1252" i="47540"/>
  <c r="C1319" i="47540"/>
  <c r="C1383" i="47540"/>
  <c r="C1434" i="47540"/>
  <c r="C90" i="47540"/>
  <c r="C234" i="47540"/>
  <c r="C370" i="47540"/>
  <c r="C538" i="47540"/>
  <c r="C690" i="47540"/>
  <c r="C826" i="47540"/>
  <c r="C1002" i="47540"/>
  <c r="C149" i="47540"/>
  <c r="C352" i="47540"/>
  <c r="C517" i="47540"/>
  <c r="C608" i="47540"/>
  <c r="C704" i="47540"/>
  <c r="C816" i="47540"/>
  <c r="C917" i="47540"/>
  <c r="C1008" i="47540"/>
  <c r="C1099" i="47540"/>
  <c r="C1171" i="47540"/>
  <c r="C1243" i="47540"/>
  <c r="C47" i="47540"/>
  <c r="C116" i="47540"/>
  <c r="C185" i="47540"/>
  <c r="C271" i="47540"/>
  <c r="C345" i="47540"/>
  <c r="C415" i="47540"/>
  <c r="C500" i="47540"/>
  <c r="C569" i="47540"/>
  <c r="C644" i="47540"/>
  <c r="C729" i="47540"/>
  <c r="C799" i="47540"/>
  <c r="C868" i="47540"/>
  <c r="C953" i="47540"/>
  <c r="C1028" i="47540"/>
  <c r="C1082" i="47540"/>
  <c r="C1146" i="47540"/>
  <c r="C1198" i="47540"/>
  <c r="C1254" i="47540"/>
  <c r="C1318" i="47540"/>
  <c r="C1370" i="47540"/>
  <c r="C83" i="47540"/>
  <c r="C253" i="47540"/>
  <c r="C403" i="47540"/>
  <c r="C541" i="47540"/>
  <c r="C712" i="47540"/>
  <c r="C851" i="47540"/>
  <c r="C1000" i="47540"/>
  <c r="C1137" i="47540"/>
  <c r="C1241" i="47540"/>
  <c r="C1328" i="47540"/>
  <c r="C1401" i="47540"/>
  <c r="C1441" i="47540"/>
  <c r="C771" i="47540"/>
  <c r="C1027" i="47540"/>
  <c r="C1181" i="47540"/>
  <c r="C1320" i="47540"/>
  <c r="C1435" i="47540"/>
  <c r="C1068" i="47540"/>
  <c r="C1228" i="47540"/>
  <c r="C1377" i="47540"/>
  <c r="C17" i="47540"/>
  <c r="C124" i="47540"/>
  <c r="C252" i="47540"/>
  <c r="C359" i="47540"/>
  <c r="C465" i="47540"/>
  <c r="C593" i="47540"/>
  <c r="C657" i="47540"/>
  <c r="C711" i="47540"/>
  <c r="C764" i="47540"/>
  <c r="C828" i="47540"/>
  <c r="C881" i="47540"/>
  <c r="C935" i="47540"/>
  <c r="C999" i="47540"/>
  <c r="C1048" i="47540"/>
  <c r="C1088" i="47540"/>
  <c r="C1136" i="47540"/>
  <c r="C1176" i="47540"/>
  <c r="C1216" i="47540"/>
  <c r="C1264" i="47540"/>
  <c r="C1300" i="47540"/>
  <c r="C1327" i="47540"/>
  <c r="C1359" i="47540"/>
  <c r="C1385" i="47540"/>
  <c r="C1408" i="47540"/>
  <c r="C1432" i="47540"/>
  <c r="C1452" i="47540"/>
  <c r="C56" i="47540"/>
  <c r="C120" i="47540"/>
  <c r="C184" i="47540"/>
  <c r="C237" i="47540"/>
  <c r="C301" i="47540"/>
  <c r="C355" i="47540"/>
  <c r="C408" i="47540"/>
  <c r="C472" i="47540"/>
  <c r="C525" i="47540"/>
  <c r="C589" i="47540"/>
  <c r="C664" i="47540"/>
  <c r="C760" i="47540"/>
  <c r="C867" i="47540"/>
  <c r="C995" i="47540"/>
  <c r="C1085" i="47540"/>
  <c r="C1173" i="47540"/>
  <c r="C1277" i="47540"/>
  <c r="C1336" i="47540"/>
  <c r="C1389" i="47540"/>
  <c r="C1439" i="47540"/>
  <c r="C55" i="47540"/>
  <c r="C108" i="47540"/>
  <c r="C172" i="47540"/>
  <c r="C225" i="47540"/>
  <c r="C279" i="47540"/>
  <c r="C343" i="47540"/>
  <c r="C396" i="47540"/>
  <c r="C449" i="47540"/>
  <c r="C513" i="47540"/>
  <c r="C567" i="47540"/>
  <c r="C620" i="47540"/>
  <c r="C684" i="47540"/>
  <c r="C748" i="47540"/>
  <c r="C801" i="47540"/>
  <c r="C865" i="47540"/>
  <c r="C929" i="47540"/>
  <c r="C1004" i="47540"/>
  <c r="C1108" i="47540"/>
  <c r="C1188" i="47540"/>
  <c r="C1268" i="47540"/>
  <c r="C1340" i="47540"/>
  <c r="C1398" i="47540"/>
  <c r="C1442" i="47540"/>
  <c r="C114" i="47540"/>
  <c r="C266" i="47540"/>
  <c r="C434" i="47540"/>
  <c r="C570" i="47540"/>
  <c r="C714" i="47540"/>
  <c r="C882" i="47540"/>
  <c r="C1034" i="47540"/>
  <c r="C192" i="47540"/>
  <c r="C416" i="47540"/>
  <c r="C533" i="47540"/>
  <c r="C629" i="47540"/>
  <c r="C747" i="47540"/>
  <c r="C837" i="47540"/>
  <c r="C928" i="47540"/>
  <c r="C1043" i="47540"/>
  <c r="C1115" i="47540"/>
  <c r="C1187" i="47540"/>
  <c r="C1271" i="47540"/>
  <c r="C57" i="47540"/>
  <c r="C132" i="47540"/>
  <c r="C217" i="47540"/>
  <c r="C287" i="47540"/>
  <c r="C356" i="47540"/>
  <c r="C441" i="47540"/>
  <c r="C516" i="47540"/>
  <c r="C585" i="47540"/>
  <c r="C671" i="47540"/>
  <c r="C740" i="47540"/>
  <c r="C815" i="47540"/>
  <c r="C900" i="47540"/>
  <c r="C969" i="47540"/>
  <c r="C1038" i="47540"/>
  <c r="C1102" i="47540"/>
  <c r="C1158" i="47540"/>
  <c r="C1210" i="47540"/>
  <c r="C1274" i="47540"/>
  <c r="C1326" i="47540"/>
  <c r="C1382" i="47540"/>
  <c r="C147" i="47540"/>
  <c r="C285" i="47540"/>
  <c r="C424" i="47540"/>
  <c r="C595" i="47540"/>
  <c r="C744" i="47540"/>
  <c r="C146" i="47540"/>
  <c r="C778" i="47540"/>
  <c r="C459" i="47540"/>
  <c r="C859" i="47540"/>
  <c r="C1211" i="47540"/>
  <c r="C228" i="47540"/>
  <c r="C527" i="47540"/>
  <c r="C841" i="47540"/>
  <c r="C1114" i="47540"/>
  <c r="C1338" i="47540"/>
  <c r="C488" i="47540"/>
  <c r="C936" i="47540"/>
  <c r="C1177" i="47540"/>
  <c r="C1371" i="47540"/>
  <c r="C685" i="47540"/>
  <c r="C1093" i="47540"/>
  <c r="C1384" i="47540"/>
  <c r="C1164" i="47540"/>
  <c r="C1410" i="47540"/>
  <c r="C188" i="47540"/>
  <c r="C423" i="47540"/>
  <c r="C625" i="47540"/>
  <c r="C743" i="47540"/>
  <c r="C849" i="47540"/>
  <c r="C967" i="47540"/>
  <c r="C1072" i="47540"/>
  <c r="C1152" i="47540"/>
  <c r="C1240" i="47540"/>
  <c r="C1316" i="47540"/>
  <c r="C1369" i="47540"/>
  <c r="C1420" i="47540"/>
  <c r="C35" i="47540"/>
  <c r="C141" i="47540"/>
  <c r="C269" i="47540"/>
  <c r="C387" i="47540"/>
  <c r="C493" i="47540"/>
  <c r="C621" i="47540"/>
  <c r="C824" i="47540"/>
  <c r="C1037" i="47540"/>
  <c r="C1229" i="47540"/>
  <c r="C1368" i="47540"/>
  <c r="C23" i="47540"/>
  <c r="C140" i="47540"/>
  <c r="C257" i="47540"/>
  <c r="C364" i="47540"/>
  <c r="C481" i="47540"/>
  <c r="C599" i="47540"/>
  <c r="C705" i="47540"/>
  <c r="C833" i="47540"/>
  <c r="C972" i="47540"/>
  <c r="C1140" i="47540"/>
  <c r="C1308" i="47540"/>
  <c r="C1426" i="47540"/>
  <c r="C914" i="47540"/>
  <c r="C1287" i="47540"/>
  <c r="C1166" i="47540"/>
  <c r="C1265" i="47540"/>
  <c r="C1451" i="47540"/>
  <c r="C508" i="47540"/>
  <c r="C1009" i="47540"/>
  <c r="C1391" i="47540"/>
  <c r="C312" i="47540"/>
  <c r="C675" i="47540"/>
  <c r="C1293" i="47540"/>
  <c r="C183" i="47540"/>
  <c r="C641" i="47540"/>
  <c r="C1204" i="47540"/>
  <c r="C458" i="47540"/>
  <c r="C32" i="47540"/>
  <c r="C667" i="47540"/>
  <c r="C1059" i="47540"/>
  <c r="C73" i="47540"/>
  <c r="C388" i="47540"/>
  <c r="C687" i="47540"/>
  <c r="C985" i="47540"/>
  <c r="C1230" i="47540"/>
  <c r="C168" i="47540"/>
  <c r="C765" i="47540"/>
  <c r="C1073" i="47540"/>
  <c r="C1301" i="47540"/>
  <c r="C1417" i="47540"/>
  <c r="C899" i="47540"/>
  <c r="C1269" i="47540"/>
  <c r="C897" i="47540"/>
  <c r="C1313" i="47540"/>
  <c r="C81" i="47540"/>
  <c r="C295" i="47540"/>
  <c r="C529" i="47540"/>
  <c r="C679" i="47540"/>
  <c r="C796" i="47540"/>
  <c r="C913" i="47540"/>
  <c r="C1020" i="47540"/>
  <c r="C1112" i="47540"/>
  <c r="C1200" i="47540"/>
  <c r="C1280" i="47540"/>
  <c r="C1343" i="47540"/>
  <c r="C1400" i="47540"/>
  <c r="C1440" i="47540"/>
  <c r="C88" i="47540"/>
  <c r="C216" i="47540"/>
  <c r="C323" i="47540"/>
  <c r="C440" i="47540"/>
  <c r="C557" i="47540"/>
  <c r="C696" i="47540"/>
  <c r="C931" i="47540"/>
  <c r="C1133" i="47540"/>
  <c r="C1304" i="47540"/>
  <c r="C1415" i="47540"/>
  <c r="C87" i="47540"/>
  <c r="C193" i="47540"/>
  <c r="C311" i="47540"/>
  <c r="C428" i="47540"/>
  <c r="C535" i="47540"/>
  <c r="C652" i="47540"/>
  <c r="C780" i="47540"/>
  <c r="C887" i="47540"/>
  <c r="C1060" i="47540"/>
  <c r="C1236" i="47540"/>
  <c r="C1361" i="47540"/>
  <c r="C602" i="47540"/>
  <c r="C267" i="47540"/>
  <c r="C757" i="47540"/>
  <c r="C1127" i="47540"/>
  <c r="C159" i="47540"/>
  <c r="C457" i="47540"/>
  <c r="C756" i="47540"/>
  <c r="C1062" i="47540"/>
  <c r="C1286" i="47540"/>
  <c r="C317" i="47540"/>
  <c r="C883" i="47540"/>
  <c r="C1153" i="47540"/>
  <c r="C1360" i="47540"/>
  <c r="C1449" i="47540"/>
  <c r="C1061" i="47540"/>
  <c r="C1363" i="47540"/>
  <c r="C1100" i="47540"/>
  <c r="C1393" i="47540"/>
  <c r="C167" i="47540"/>
  <c r="C380" i="47540"/>
  <c r="C615" i="47540"/>
  <c r="C721" i="47540"/>
  <c r="C839" i="47540"/>
  <c r="C956" i="47540"/>
  <c r="C1056" i="47540"/>
  <c r="C1144" i="47540"/>
  <c r="C1232" i="47540"/>
  <c r="C1305" i="47540"/>
  <c r="C1364" i="47540"/>
  <c r="C1416" i="47540"/>
  <c r="C13" i="47540"/>
  <c r="C131" i="47540"/>
  <c r="C259" i="47540"/>
  <c r="C365" i="47540"/>
  <c r="C483" i="47540"/>
  <c r="C611" i="47540"/>
  <c r="C781" i="47540"/>
  <c r="C1016" i="47540"/>
  <c r="C1213" i="47540"/>
  <c r="C1347" i="47540"/>
  <c r="C1447" i="47540"/>
  <c r="C129" i="47540"/>
  <c r="C236" i="47540"/>
  <c r="C353" i="47540"/>
  <c r="C471" i="47540"/>
  <c r="C577" i="47540"/>
  <c r="C695" i="47540"/>
  <c r="C823" i="47540"/>
  <c r="C940" i="47540"/>
  <c r="C1124" i="47540"/>
  <c r="C1297" i="47540"/>
  <c r="C1406" i="47540"/>
  <c r="C314" i="47540"/>
  <c r="C555" i="47540"/>
  <c r="C971" i="47540"/>
  <c r="C303" i="47540"/>
  <c r="C612" i="47540"/>
  <c r="C911" i="47540"/>
  <c r="C29" i="47540"/>
  <c r="C627" i="47540"/>
  <c r="C1049" i="47540"/>
  <c r="C1409" i="47540"/>
  <c r="C856" i="47540"/>
  <c r="C1205" i="47540"/>
  <c r="C1292" i="47540"/>
  <c r="C39" i="47540"/>
  <c r="C273" i="47540"/>
  <c r="C668" i="47540"/>
  <c r="C785" i="47540"/>
  <c r="C892" i="47540"/>
  <c r="C1104" i="47540"/>
  <c r="C1184" i="47540"/>
  <c r="C1272" i="47540"/>
  <c r="C1337" i="47540"/>
  <c r="C1436" i="47540"/>
  <c r="C77" i="47540"/>
  <c r="C195" i="47540"/>
  <c r="C429" i="47540"/>
  <c r="C536" i="47540"/>
  <c r="C909" i="47540"/>
  <c r="C1101" i="47540"/>
  <c r="C1407" i="47540"/>
  <c r="C65" i="47540"/>
  <c r="C300" i="47540"/>
  <c r="C407" i="47540"/>
  <c r="C524" i="47540"/>
  <c r="C759" i="47540"/>
  <c r="C876" i="47540"/>
  <c r="C1044" i="47540"/>
  <c r="C1351" i="47540"/>
  <c r="A27" i="47540"/>
  <c r="A43" i="47540"/>
  <c r="A59" i="47540"/>
  <c r="A75" i="47540"/>
  <c r="A91" i="47540"/>
  <c r="A107" i="47540"/>
  <c r="A123" i="47540"/>
  <c r="A139" i="47540"/>
  <c r="A155" i="47540"/>
  <c r="A171" i="47540"/>
  <c r="A187" i="47540"/>
  <c r="A203" i="47540"/>
  <c r="A219" i="47540"/>
  <c r="A235" i="47540"/>
  <c r="A251" i="47540"/>
  <c r="A267" i="47540"/>
  <c r="A283" i="47540"/>
  <c r="A299" i="47540"/>
  <c r="A20" i="47540"/>
  <c r="A36" i="47540"/>
  <c r="A52" i="47540"/>
  <c r="A68" i="47540"/>
  <c r="A84" i="47540"/>
  <c r="A100" i="47540"/>
  <c r="A116" i="47540"/>
  <c r="A132" i="47540"/>
  <c r="A148" i="47540"/>
  <c r="A164" i="47540"/>
  <c r="A180" i="47540"/>
  <c r="A196" i="47540"/>
  <c r="A212" i="47540"/>
  <c r="A228" i="47540"/>
  <c r="A244" i="47540"/>
  <c r="A260" i="47540"/>
  <c r="A276" i="47540"/>
  <c r="A292" i="47540"/>
  <c r="A308" i="47540"/>
  <c r="A324" i="47540"/>
  <c r="A340" i="47540"/>
  <c r="A356" i="47540"/>
  <c r="A372" i="47540"/>
  <c r="A388" i="47540"/>
  <c r="A404" i="47540"/>
  <c r="A420" i="47540"/>
  <c r="A436" i="47540"/>
  <c r="A452" i="47540"/>
  <c r="A468" i="47540"/>
  <c r="A484" i="47540"/>
  <c r="A500" i="47540"/>
  <c r="A516" i="47540"/>
  <c r="A532" i="47540"/>
  <c r="A548" i="47540"/>
  <c r="A564" i="47540"/>
  <c r="A580" i="47540"/>
  <c r="A596" i="47540"/>
  <c r="A612" i="47540"/>
  <c r="A628" i="47540"/>
  <c r="A644" i="47540"/>
  <c r="A660" i="47540"/>
  <c r="A676" i="47540"/>
  <c r="A692" i="47540"/>
  <c r="A708" i="47540"/>
  <c r="A724" i="47540"/>
  <c r="A740" i="47540"/>
  <c r="A756" i="47540"/>
  <c r="A772" i="47540"/>
  <c r="A788" i="47540"/>
  <c r="A804" i="47540"/>
  <c r="A820" i="47540"/>
  <c r="A836" i="47540"/>
  <c r="A852" i="47540"/>
  <c r="A868" i="47540"/>
  <c r="A884" i="47540"/>
  <c r="A900" i="47540"/>
  <c r="A916" i="47540"/>
  <c r="A932" i="47540"/>
  <c r="A948" i="47540"/>
  <c r="A964" i="47540"/>
  <c r="A980" i="47540"/>
  <c r="A996" i="47540"/>
  <c r="A1012" i="47540"/>
  <c r="A1028" i="47540"/>
  <c r="A25" i="47540"/>
  <c r="A57" i="47540"/>
  <c r="A89" i="47540"/>
  <c r="A121" i="47540"/>
  <c r="A153" i="47540"/>
  <c r="A185" i="47540"/>
  <c r="A217" i="47540"/>
  <c r="A249" i="47540"/>
  <c r="A281" i="47540"/>
  <c r="A311" i="47540"/>
  <c r="A333" i="47540"/>
  <c r="A354" i="47540"/>
  <c r="A375" i="47540"/>
  <c r="A397" i="47540"/>
  <c r="A418" i="47540"/>
  <c r="A439" i="47540"/>
  <c r="A461" i="47540"/>
  <c r="A482" i="47540"/>
  <c r="A503" i="47540"/>
  <c r="A525" i="47540"/>
  <c r="A546" i="47540"/>
  <c r="A567" i="47540"/>
  <c r="A589" i="47540"/>
  <c r="A610" i="47540"/>
  <c r="A631" i="47540"/>
  <c r="A653" i="47540"/>
  <c r="A674" i="47540"/>
  <c r="A695" i="47540"/>
  <c r="A717" i="47540"/>
  <c r="A738" i="47540"/>
  <c r="A759" i="47540"/>
  <c r="A781" i="47540"/>
  <c r="A802" i="47540"/>
  <c r="A823" i="47540"/>
  <c r="A845" i="47540"/>
  <c r="A866" i="47540"/>
  <c r="A887" i="47540"/>
  <c r="A909" i="47540"/>
  <c r="A930" i="47540"/>
  <c r="A951" i="47540"/>
  <c r="A973" i="47540"/>
  <c r="A994" i="47540"/>
  <c r="A1015" i="47540"/>
  <c r="A1037" i="47540"/>
  <c r="A1053" i="47540"/>
  <c r="A1069" i="47540"/>
  <c r="A1085" i="47540"/>
  <c r="A1101" i="47540"/>
  <c r="A1117" i="47540"/>
  <c r="A1133" i="47540"/>
  <c r="A1149" i="47540"/>
  <c r="A1165" i="47540"/>
  <c r="A1181" i="47540"/>
  <c r="A1197" i="47540"/>
  <c r="A1213" i="47540"/>
  <c r="A1229" i="47540"/>
  <c r="A1245" i="47540"/>
  <c r="A1261" i="47540"/>
  <c r="A1277" i="47540"/>
  <c r="A1293" i="47540"/>
  <c r="A1309" i="47540"/>
  <c r="A1325" i="47540"/>
  <c r="A1341" i="47540"/>
  <c r="A1357" i="47540"/>
  <c r="A30" i="47540"/>
  <c r="A74" i="47540"/>
  <c r="A117" i="47540"/>
  <c r="A158" i="47540"/>
  <c r="A202" i="47540"/>
  <c r="A245" i="47540"/>
  <c r="A286" i="47540"/>
  <c r="A323" i="47540"/>
  <c r="A351" i="47540"/>
  <c r="A379" i="47540"/>
  <c r="A409" i="47540"/>
  <c r="A437" i="47540"/>
  <c r="A465" i="47540"/>
  <c r="A494" i="47540"/>
  <c r="A522" i="47540"/>
  <c r="A550" i="47540"/>
  <c r="A579" i="47540"/>
  <c r="A607" i="47540"/>
  <c r="A635" i="47540"/>
  <c r="A38" i="47540"/>
  <c r="A82" i="47540"/>
  <c r="A125" i="47540"/>
  <c r="A166" i="47540"/>
  <c r="A210" i="47540"/>
  <c r="A253" i="47540"/>
  <c r="A294" i="47540"/>
  <c r="A329" i="47540"/>
  <c r="A357" i="47540"/>
  <c r="A385" i="47540"/>
  <c r="A414" i="47540"/>
  <c r="A442" i="47540"/>
  <c r="A470" i="47540"/>
  <c r="A499" i="47540"/>
  <c r="A527" i="47540"/>
  <c r="A555" i="47540"/>
  <c r="A585" i="47540"/>
  <c r="A613" i="47540"/>
  <c r="A641" i="47540"/>
  <c r="A670" i="47540"/>
  <c r="A698" i="47540"/>
  <c r="A726" i="47540"/>
  <c r="A755" i="47540"/>
  <c r="A783" i="47540"/>
  <c r="A811" i="47540"/>
  <c r="A841" i="47540"/>
  <c r="A869" i="47540"/>
  <c r="A897" i="47540"/>
  <c r="A926" i="47540"/>
  <c r="A954" i="47540"/>
  <c r="A982" i="47540"/>
  <c r="A1011" i="47540"/>
  <c r="A1039" i="47540"/>
  <c r="A1060" i="47540"/>
  <c r="A1082" i="47540"/>
  <c r="A1103" i="47540"/>
  <c r="A1124" i="47540"/>
  <c r="A1146" i="47540"/>
  <c r="A1167" i="47540"/>
  <c r="A1188" i="47540"/>
  <c r="A1210" i="47540"/>
  <c r="A1231" i="47540"/>
  <c r="A1252" i="47540"/>
  <c r="A1274" i="47540"/>
  <c r="A1295" i="47540"/>
  <c r="A1316" i="47540"/>
  <c r="A1338" i="47540"/>
  <c r="A1359" i="47540"/>
  <c r="A1377" i="47540"/>
  <c r="A1393" i="47540"/>
  <c r="A1409" i="47540"/>
  <c r="A1425" i="47540"/>
  <c r="A1441" i="47540"/>
  <c r="A26" i="47540"/>
  <c r="A69" i="47540"/>
  <c r="A110" i="47540"/>
  <c r="A154" i="47540"/>
  <c r="A197" i="47540"/>
  <c r="A238" i="47540"/>
  <c r="A282" i="47540"/>
  <c r="A319" i="47540"/>
  <c r="A347" i="47540"/>
  <c r="A377" i="47540"/>
  <c r="A405" i="47540"/>
  <c r="A433" i="47540"/>
  <c r="A462" i="47540"/>
  <c r="A490" i="47540"/>
  <c r="A518" i="47540"/>
  <c r="A547" i="47540"/>
  <c r="A575" i="47540"/>
  <c r="A603" i="47540"/>
  <c r="A633" i="47540"/>
  <c r="A661" i="47540"/>
  <c r="A689" i="47540"/>
  <c r="A718" i="47540"/>
  <c r="A746" i="47540"/>
  <c r="A774" i="47540"/>
  <c r="A803" i="47540"/>
  <c r="A831" i="47540"/>
  <c r="A859" i="47540"/>
  <c r="A889" i="47540"/>
  <c r="A917" i="47540"/>
  <c r="A945" i="47540"/>
  <c r="A974" i="47540"/>
  <c r="A1002" i="47540"/>
  <c r="A1030" i="47540"/>
  <c r="A1054" i="47540"/>
  <c r="A1075" i="47540"/>
  <c r="A1096" i="47540"/>
  <c r="A1118" i="47540"/>
  <c r="A1139" i="47540"/>
  <c r="A1160" i="47540"/>
  <c r="A1182" i="47540"/>
  <c r="A1203" i="47540"/>
  <c r="A1224" i="47540"/>
  <c r="A1246" i="47540"/>
  <c r="A1267" i="47540"/>
  <c r="A1288" i="47540"/>
  <c r="A1310" i="47540"/>
  <c r="A1331" i="47540"/>
  <c r="A1352" i="47540"/>
  <c r="A1372" i="47540"/>
  <c r="A1388" i="47540"/>
  <c r="A1404" i="47540"/>
  <c r="A1420" i="47540"/>
  <c r="A1436" i="47540"/>
  <c r="A1452" i="47540"/>
  <c r="A45" i="47540"/>
  <c r="A86" i="47540"/>
  <c r="A130" i="47540"/>
  <c r="A173" i="47540"/>
  <c r="A214" i="47540"/>
  <c r="A258" i="47540"/>
  <c r="A301" i="47540"/>
  <c r="A331" i="47540"/>
  <c r="A361" i="47540"/>
  <c r="A389" i="47540"/>
  <c r="A417" i="47540"/>
  <c r="A446" i="47540"/>
  <c r="A474" i="47540"/>
  <c r="A502" i="47540"/>
  <c r="A531" i="47540"/>
  <c r="A559" i="47540"/>
  <c r="A587" i="47540"/>
  <c r="A617" i="47540"/>
  <c r="A645" i="47540"/>
  <c r="A673" i="47540"/>
  <c r="A702" i="47540"/>
  <c r="A707" i="47540"/>
  <c r="A766" i="47540"/>
  <c r="A822" i="47540"/>
  <c r="A879" i="47540"/>
  <c r="A937" i="47540"/>
  <c r="A993" i="47540"/>
  <c r="A1047" i="47540"/>
  <c r="A1090" i="47540"/>
  <c r="A1132" i="47540"/>
  <c r="A1175" i="47540"/>
  <c r="A1218" i="47540"/>
  <c r="A1260" i="47540"/>
  <c r="A1303" i="47540"/>
  <c r="A1346" i="47540"/>
  <c r="A1383" i="47540"/>
  <c r="A1415" i="47540"/>
  <c r="A1447" i="47540"/>
  <c r="A735" i="47540"/>
  <c r="A793" i="47540"/>
  <c r="A849" i="47540"/>
  <c r="A906" i="47540"/>
  <c r="A963" i="47540"/>
  <c r="A1019" i="47540"/>
  <c r="A1067" i="47540"/>
  <c r="A1110" i="47540"/>
  <c r="A1152" i="47540"/>
  <c r="A1195" i="47540"/>
  <c r="A1238" i="47540"/>
  <c r="A1280" i="47540"/>
  <c r="A1323" i="47540"/>
  <c r="A1366" i="47540"/>
  <c r="A1398" i="47540"/>
  <c r="A1430" i="47540"/>
  <c r="A693" i="47540"/>
  <c r="A758" i="47540"/>
  <c r="A815" i="47540"/>
  <c r="A873" i="47540"/>
  <c r="A929" i="47540"/>
  <c r="A986" i="47540"/>
  <c r="A1042" i="47540"/>
  <c r="A1084" i="47540"/>
  <c r="A1127" i="47540"/>
  <c r="A1170" i="47540"/>
  <c r="A1212" i="47540"/>
  <c r="A1255" i="47540"/>
  <c r="A1298" i="47540"/>
  <c r="A1340" i="47540"/>
  <c r="A1379" i="47540"/>
  <c r="A1411" i="47540"/>
  <c r="A1443" i="47540"/>
  <c r="A714" i="47540"/>
  <c r="A771" i="47540"/>
  <c r="A827" i="47540"/>
  <c r="A885" i="47540"/>
  <c r="A942" i="47540"/>
  <c r="A998" i="47540"/>
  <c r="A1051" i="47540"/>
  <c r="A1094" i="47540"/>
  <c r="A1136" i="47540"/>
  <c r="A1179" i="47540"/>
  <c r="A1222" i="47540"/>
  <c r="A1264" i="47540"/>
  <c r="A1307" i="47540"/>
  <c r="A1350" i="47540"/>
  <c r="A1386" i="47540"/>
  <c r="A1418" i="47540"/>
  <c r="A1450" i="47540"/>
  <c r="A19" i="47540"/>
  <c r="A35" i="47540"/>
  <c r="A51" i="47540"/>
  <c r="A67" i="47540"/>
  <c r="A83" i="47540"/>
  <c r="A99" i="47540"/>
  <c r="A115" i="47540"/>
  <c r="A131" i="47540"/>
  <c r="A147" i="47540"/>
  <c r="A163" i="47540"/>
  <c r="A179" i="47540"/>
  <c r="A195" i="47540"/>
  <c r="A211" i="47540"/>
  <c r="A227" i="47540"/>
  <c r="A243" i="47540"/>
  <c r="A259" i="47540"/>
  <c r="A275" i="47540"/>
  <c r="A291" i="47540"/>
  <c r="A307" i="47540"/>
  <c r="A28" i="47540"/>
  <c r="A44" i="47540"/>
  <c r="A60" i="47540"/>
  <c r="A76" i="47540"/>
  <c r="A92" i="47540"/>
  <c r="A108" i="47540"/>
  <c r="A124" i="47540"/>
  <c r="A140" i="47540"/>
  <c r="A156" i="47540"/>
  <c r="A172" i="47540"/>
  <c r="A188" i="47540"/>
  <c r="A204" i="47540"/>
  <c r="A220" i="47540"/>
  <c r="A236" i="47540"/>
  <c r="A252" i="47540"/>
  <c r="A268" i="47540"/>
  <c r="A284" i="47540"/>
  <c r="A300" i="47540"/>
  <c r="A316" i="47540"/>
  <c r="A332" i="47540"/>
  <c r="A348" i="47540"/>
  <c r="A364" i="47540"/>
  <c r="A380" i="47540"/>
  <c r="A396" i="47540"/>
  <c r="A412" i="47540"/>
  <c r="A428" i="47540"/>
  <c r="A444" i="47540"/>
  <c r="A460" i="47540"/>
  <c r="A476" i="47540"/>
  <c r="A492" i="47540"/>
  <c r="A508" i="47540"/>
  <c r="A524" i="47540"/>
  <c r="A540" i="47540"/>
  <c r="A556" i="47540"/>
  <c r="A572" i="47540"/>
  <c r="A588" i="47540"/>
  <c r="A604" i="47540"/>
  <c r="A620" i="47540"/>
  <c r="A636" i="47540"/>
  <c r="A652" i="47540"/>
  <c r="A668" i="47540"/>
  <c r="A684" i="47540"/>
  <c r="A700" i="47540"/>
  <c r="A716" i="47540"/>
  <c r="A732" i="47540"/>
  <c r="A748" i="47540"/>
  <c r="A764" i="47540"/>
  <c r="A780" i="47540"/>
  <c r="A796" i="47540"/>
  <c r="A812" i="47540"/>
  <c r="A828" i="47540"/>
  <c r="A844" i="47540"/>
  <c r="A860" i="47540"/>
  <c r="A876" i="47540"/>
  <c r="A892" i="47540"/>
  <c r="A908" i="47540"/>
  <c r="A924" i="47540"/>
  <c r="A940" i="47540"/>
  <c r="A956" i="47540"/>
  <c r="A972" i="47540"/>
  <c r="A988" i="47540"/>
  <c r="A1004" i="47540"/>
  <c r="A1020" i="47540"/>
  <c r="A1036" i="47540"/>
  <c r="A41" i="47540"/>
  <c r="A73" i="47540"/>
  <c r="A105" i="47540"/>
  <c r="A137" i="47540"/>
  <c r="A169" i="47540"/>
  <c r="A201" i="47540"/>
  <c r="A233" i="47540"/>
  <c r="A265" i="47540"/>
  <c r="A297" i="47540"/>
  <c r="A322" i="47540"/>
  <c r="A343" i="47540"/>
  <c r="A365" i="47540"/>
  <c r="A386" i="47540"/>
  <c r="A407" i="47540"/>
  <c r="A429" i="47540"/>
  <c r="A450" i="47540"/>
  <c r="A471" i="47540"/>
  <c r="A493" i="47540"/>
  <c r="A514" i="47540"/>
  <c r="A535" i="47540"/>
  <c r="A557" i="47540"/>
  <c r="A578" i="47540"/>
  <c r="A599" i="47540"/>
  <c r="A621" i="47540"/>
  <c r="A642" i="47540"/>
  <c r="A663" i="47540"/>
  <c r="A685" i="47540"/>
  <c r="A706" i="47540"/>
  <c r="A727" i="47540"/>
  <c r="A749" i="47540"/>
  <c r="A770" i="47540"/>
  <c r="A791" i="47540"/>
  <c r="A813" i="47540"/>
  <c r="A834" i="47540"/>
  <c r="A855" i="47540"/>
  <c r="A877" i="47540"/>
  <c r="A898" i="47540"/>
  <c r="A919" i="47540"/>
  <c r="A941" i="47540"/>
  <c r="A962" i="47540"/>
  <c r="A983" i="47540"/>
  <c r="A1005" i="47540"/>
  <c r="A1026" i="47540"/>
  <c r="A1045" i="47540"/>
  <c r="A1061" i="47540"/>
  <c r="A1077" i="47540"/>
  <c r="A1093" i="47540"/>
  <c r="A1109" i="47540"/>
  <c r="A1125" i="47540"/>
  <c r="A1141" i="47540"/>
  <c r="A1157" i="47540"/>
  <c r="A1173" i="47540"/>
  <c r="A1189" i="47540"/>
  <c r="A1205" i="47540"/>
  <c r="A1221" i="47540"/>
  <c r="A1237" i="47540"/>
  <c r="A1253" i="47540"/>
  <c r="A1269" i="47540"/>
  <c r="A1285" i="47540"/>
  <c r="A1301" i="47540"/>
  <c r="A1317" i="47540"/>
  <c r="A1333" i="47540"/>
  <c r="A1349" i="47540"/>
  <c r="A1365" i="47540"/>
  <c r="A53" i="47540"/>
  <c r="A94" i="47540"/>
  <c r="A138" i="47540"/>
  <c r="A181" i="47540"/>
  <c r="A222" i="47540"/>
  <c r="A266" i="47540"/>
  <c r="A309" i="47540"/>
  <c r="A337" i="47540"/>
  <c r="A366" i="47540"/>
  <c r="A394" i="47540"/>
  <c r="A422" i="47540"/>
  <c r="A451" i="47540"/>
  <c r="A479" i="47540"/>
  <c r="A507" i="47540"/>
  <c r="A537" i="47540"/>
  <c r="A565" i="47540"/>
  <c r="A593" i="47540"/>
  <c r="A622" i="47540"/>
  <c r="A18" i="47540"/>
  <c r="A61" i="47540"/>
  <c r="A102" i="47540"/>
  <c r="A146" i="47540"/>
  <c r="A189" i="47540"/>
  <c r="A230" i="47540"/>
  <c r="A274" i="47540"/>
  <c r="A314" i="47540"/>
  <c r="A342" i="47540"/>
  <c r="A371" i="47540"/>
  <c r="A399" i="47540"/>
  <c r="A427" i="47540"/>
  <c r="A457" i="47540"/>
  <c r="A485" i="47540"/>
  <c r="A513" i="47540"/>
  <c r="A542" i="47540"/>
  <c r="A570" i="47540"/>
  <c r="A598" i="47540"/>
  <c r="A627" i="47540"/>
  <c r="A655" i="47540"/>
  <c r="A683" i="47540"/>
  <c r="A713" i="47540"/>
  <c r="A741" i="47540"/>
  <c r="A769" i="47540"/>
  <c r="A798" i="47540"/>
  <c r="A826" i="47540"/>
  <c r="A854" i="47540"/>
  <c r="A883" i="47540"/>
  <c r="A911" i="47540"/>
  <c r="A939" i="47540"/>
  <c r="A969" i="47540"/>
  <c r="A997" i="47540"/>
  <c r="A1025" i="47540"/>
  <c r="A1050" i="47540"/>
  <c r="A1071" i="47540"/>
  <c r="A1092" i="47540"/>
  <c r="A1114" i="47540"/>
  <c r="A1135" i="47540"/>
  <c r="A1156" i="47540"/>
  <c r="A1178" i="47540"/>
  <c r="A1199" i="47540"/>
  <c r="A1220" i="47540"/>
  <c r="A1242" i="47540"/>
  <c r="A1263" i="47540"/>
  <c r="A1284" i="47540"/>
  <c r="A1306" i="47540"/>
  <c r="A1327" i="47540"/>
  <c r="A1348" i="47540"/>
  <c r="A1369" i="47540"/>
  <c r="A1385" i="47540"/>
  <c r="A1401" i="47540"/>
  <c r="A1417" i="47540"/>
  <c r="A1433" i="47540"/>
  <c r="A1449" i="47540"/>
  <c r="A46" i="47540"/>
  <c r="A90" i="47540"/>
  <c r="A133" i="47540"/>
  <c r="A174" i="47540"/>
  <c r="A218" i="47540"/>
  <c r="A261" i="47540"/>
  <c r="A302" i="47540"/>
  <c r="A334" i="47540"/>
  <c r="A362" i="47540"/>
  <c r="A390" i="47540"/>
  <c r="A419" i="47540"/>
  <c r="A447" i="47540"/>
  <c r="A475" i="47540"/>
  <c r="A505" i="47540"/>
  <c r="A533" i="47540"/>
  <c r="A561" i="47540"/>
  <c r="A590" i="47540"/>
  <c r="A618" i="47540"/>
  <c r="A646" i="47540"/>
  <c r="A675" i="47540"/>
  <c r="A703" i="47540"/>
  <c r="A731" i="47540"/>
  <c r="A761" i="47540"/>
  <c r="A789" i="47540"/>
  <c r="A817" i="47540"/>
  <c r="A846" i="47540"/>
  <c r="A874" i="47540"/>
  <c r="A902" i="47540"/>
  <c r="A931" i="47540"/>
  <c r="A959" i="47540"/>
  <c r="A987" i="47540"/>
  <c r="A1017" i="47540"/>
  <c r="A1043" i="47540"/>
  <c r="A1064" i="47540"/>
  <c r="A1086" i="47540"/>
  <c r="A1107" i="47540"/>
  <c r="A1128" i="47540"/>
  <c r="A1150" i="47540"/>
  <c r="A1171" i="47540"/>
  <c r="A1192" i="47540"/>
  <c r="A1214" i="47540"/>
  <c r="A1235" i="47540"/>
  <c r="A1256" i="47540"/>
  <c r="A1278" i="47540"/>
  <c r="A1299" i="47540"/>
  <c r="A1320" i="47540"/>
  <c r="A1342" i="47540"/>
  <c r="A1363" i="47540"/>
  <c r="A1380" i="47540"/>
  <c r="A1396" i="47540"/>
  <c r="A1412" i="47540"/>
  <c r="A1428" i="47540"/>
  <c r="A1444" i="47540"/>
  <c r="A22" i="47540"/>
  <c r="A66" i="47540"/>
  <c r="A109" i="47540"/>
  <c r="A150" i="47540"/>
  <c r="A194" i="47540"/>
  <c r="A237" i="47540"/>
  <c r="A278" i="47540"/>
  <c r="A318" i="47540"/>
  <c r="A346" i="47540"/>
  <c r="A374" i="47540"/>
  <c r="A403" i="47540"/>
  <c r="A431" i="47540"/>
  <c r="A459" i="47540"/>
  <c r="A489" i="47540"/>
  <c r="A517" i="47540"/>
  <c r="A545" i="47540"/>
  <c r="A574" i="47540"/>
  <c r="A602" i="47540"/>
  <c r="A630" i="47540"/>
  <c r="A659" i="47540"/>
  <c r="A687" i="47540"/>
  <c r="A650" i="47540"/>
  <c r="A737" i="47540"/>
  <c r="A794" i="47540"/>
  <c r="A851" i="47540"/>
  <c r="A907" i="47540"/>
  <c r="A965" i="47540"/>
  <c r="A1022" i="47540"/>
  <c r="A1068" i="47540"/>
  <c r="A1111" i="47540"/>
  <c r="A1154" i="47540"/>
  <c r="A1196" i="47540"/>
  <c r="A1239" i="47540"/>
  <c r="A1282" i="47540"/>
  <c r="A1324" i="47540"/>
  <c r="A1367" i="47540"/>
  <c r="A1399" i="47540"/>
  <c r="A1431" i="47540"/>
  <c r="A699" i="47540"/>
  <c r="A763" i="47540"/>
  <c r="A821" i="47540"/>
  <c r="A878" i="47540"/>
  <c r="A934" i="47540"/>
  <c r="A991" i="47540"/>
  <c r="A1046" i="47540"/>
  <c r="A1088" i="47540"/>
  <c r="A1131" i="47540"/>
  <c r="A1174" i="47540"/>
  <c r="A1216" i="47540"/>
  <c r="A1259" i="47540"/>
  <c r="A1302" i="47540"/>
  <c r="A1344" i="47540"/>
  <c r="A1382" i="47540"/>
  <c r="A1414" i="47540"/>
  <c r="A1446" i="47540"/>
  <c r="A730" i="47540"/>
  <c r="A787" i="47540"/>
  <c r="A843" i="47540"/>
  <c r="A901" i="47540"/>
  <c r="A958" i="47540"/>
  <c r="A1014" i="47540"/>
  <c r="A1063" i="47540"/>
  <c r="A1106" i="47540"/>
  <c r="A1148" i="47540"/>
  <c r="A1191" i="47540"/>
  <c r="A1234" i="47540"/>
  <c r="A1276" i="47540"/>
  <c r="A1319" i="47540"/>
  <c r="A1362" i="47540"/>
  <c r="A1395" i="47540"/>
  <c r="A1427" i="47540"/>
  <c r="A657" i="47540"/>
  <c r="A742" i="47540"/>
  <c r="A799" i="47540"/>
  <c r="A857" i="47540"/>
  <c r="A913" i="47540"/>
  <c r="A970" i="47540"/>
  <c r="A1027" i="47540"/>
  <c r="A1072" i="47540"/>
  <c r="A1115" i="47540"/>
  <c r="A1158" i="47540"/>
  <c r="A1200" i="47540"/>
  <c r="A1243" i="47540"/>
  <c r="A1286" i="47540"/>
  <c r="A1328" i="47540"/>
  <c r="A1370" i="47540"/>
  <c r="A1402" i="47540"/>
  <c r="A1434" i="47540"/>
  <c r="A23" i="47540"/>
  <c r="A39" i="47540"/>
  <c r="A55" i="47540"/>
  <c r="A71" i="47540"/>
  <c r="A87" i="47540"/>
  <c r="A103" i="47540"/>
  <c r="A119" i="47540"/>
  <c r="A135" i="47540"/>
  <c r="A151" i="47540"/>
  <c r="A167" i="47540"/>
  <c r="A183" i="47540"/>
  <c r="A199" i="47540"/>
  <c r="A215" i="47540"/>
  <c r="A231" i="47540"/>
  <c r="A247" i="47540"/>
  <c r="A263" i="47540"/>
  <c r="A279" i="47540"/>
  <c r="A295" i="47540"/>
  <c r="A16" i="47540"/>
  <c r="A32" i="47540"/>
  <c r="A48" i="47540"/>
  <c r="A64" i="47540"/>
  <c r="A80" i="47540"/>
  <c r="A96" i="47540"/>
  <c r="A112" i="47540"/>
  <c r="A128" i="47540"/>
  <c r="A144" i="47540"/>
  <c r="A160" i="47540"/>
  <c r="A176" i="47540"/>
  <c r="A192" i="47540"/>
  <c r="A208" i="47540"/>
  <c r="A224" i="47540"/>
  <c r="A240" i="47540"/>
  <c r="A256" i="47540"/>
  <c r="A272" i="47540"/>
  <c r="A288" i="47540"/>
  <c r="A304" i="47540"/>
  <c r="A320" i="47540"/>
  <c r="A336" i="47540"/>
  <c r="A352" i="47540"/>
  <c r="A368" i="47540"/>
  <c r="A384" i="47540"/>
  <c r="A400" i="47540"/>
  <c r="A416" i="47540"/>
  <c r="A432" i="47540"/>
  <c r="A448" i="47540"/>
  <c r="A464" i="47540"/>
  <c r="A480" i="47540"/>
  <c r="A496" i="47540"/>
  <c r="A512" i="47540"/>
  <c r="A528" i="47540"/>
  <c r="A544" i="47540"/>
  <c r="A560" i="47540"/>
  <c r="A576" i="47540"/>
  <c r="A592" i="47540"/>
  <c r="A608" i="47540"/>
  <c r="A624" i="47540"/>
  <c r="A640" i="47540"/>
  <c r="A656" i="47540"/>
  <c r="A672" i="47540"/>
  <c r="A688" i="47540"/>
  <c r="A704" i="47540"/>
  <c r="A720" i="47540"/>
  <c r="A736" i="47540"/>
  <c r="A752" i="47540"/>
  <c r="A768" i="47540"/>
  <c r="A784" i="47540"/>
  <c r="A800" i="47540"/>
  <c r="A816" i="47540"/>
  <c r="A832" i="47540"/>
  <c r="A848" i="47540"/>
  <c r="A864" i="47540"/>
  <c r="A880" i="47540"/>
  <c r="A896" i="47540"/>
  <c r="A912" i="47540"/>
  <c r="A928" i="47540"/>
  <c r="A944" i="47540"/>
  <c r="A960" i="47540"/>
  <c r="A976" i="47540"/>
  <c r="A992" i="47540"/>
  <c r="A1008" i="47540"/>
  <c r="A1024" i="47540"/>
  <c r="A17" i="47540"/>
  <c r="A49" i="47540"/>
  <c r="A81" i="47540"/>
  <c r="A113" i="47540"/>
  <c r="A145" i="47540"/>
  <c r="A31" i="47540"/>
  <c r="A95" i="47540"/>
  <c r="A159" i="47540"/>
  <c r="A223" i="47540"/>
  <c r="A287" i="47540"/>
  <c r="A56" i="47540"/>
  <c r="A120" i="47540"/>
  <c r="A184" i="47540"/>
  <c r="A248" i="47540"/>
  <c r="A312" i="47540"/>
  <c r="A376" i="47540"/>
  <c r="A440" i="47540"/>
  <c r="A504" i="47540"/>
  <c r="A568" i="47540"/>
  <c r="A632" i="47540"/>
  <c r="A696" i="47540"/>
  <c r="A760" i="47540"/>
  <c r="A824" i="47540"/>
  <c r="A888" i="47540"/>
  <c r="A952" i="47540"/>
  <c r="A1016" i="47540"/>
  <c r="A97" i="47540"/>
  <c r="A193" i="47540"/>
  <c r="A257" i="47540"/>
  <c r="A317" i="47540"/>
  <c r="A359" i="47540"/>
  <c r="A402" i="47540"/>
  <c r="A445" i="47540"/>
  <c r="A487" i="47540"/>
  <c r="A530" i="47540"/>
  <c r="A573" i="47540"/>
  <c r="A615" i="47540"/>
  <c r="A658" i="47540"/>
  <c r="A701" i="47540"/>
  <c r="A743" i="47540"/>
  <c r="A786" i="47540"/>
  <c r="A829" i="47540"/>
  <c r="A871" i="47540"/>
  <c r="A914" i="47540"/>
  <c r="A957" i="47540"/>
  <c r="A999" i="47540"/>
  <c r="A1041" i="47540"/>
  <c r="A1073" i="47540"/>
  <c r="A1105" i="47540"/>
  <c r="A1137" i="47540"/>
  <c r="A1169" i="47540"/>
  <c r="A1201" i="47540"/>
  <c r="A1233" i="47540"/>
  <c r="A1265" i="47540"/>
  <c r="A1297" i="47540"/>
  <c r="A1329" i="47540"/>
  <c r="A1361" i="47540"/>
  <c r="A85" i="47540"/>
  <c r="A170" i="47540"/>
  <c r="A254" i="47540"/>
  <c r="A330" i="47540"/>
  <c r="A387" i="47540"/>
  <c r="A443" i="47540"/>
  <c r="A501" i="47540"/>
  <c r="A558" i="47540"/>
  <c r="A614" i="47540"/>
  <c r="A50" i="47540"/>
  <c r="A134" i="47540"/>
  <c r="A221" i="47540"/>
  <c r="A306" i="47540"/>
  <c r="A363" i="47540"/>
  <c r="A421" i="47540"/>
  <c r="A478" i="47540"/>
  <c r="A534" i="47540"/>
  <c r="A591" i="47540"/>
  <c r="A649" i="47540"/>
  <c r="A705" i="47540"/>
  <c r="A762" i="47540"/>
  <c r="A819" i="47540"/>
  <c r="A875" i="47540"/>
  <c r="A933" i="47540"/>
  <c r="A990" i="47540"/>
  <c r="A1044" i="47540"/>
  <c r="A1087" i="47540"/>
  <c r="A1130" i="47540"/>
  <c r="A1172" i="47540"/>
  <c r="A1215" i="47540"/>
  <c r="A1258" i="47540"/>
  <c r="A1300" i="47540"/>
  <c r="A1343" i="47540"/>
  <c r="A1381" i="47540"/>
  <c r="A1413" i="47540"/>
  <c r="A1445" i="47540"/>
  <c r="A78" i="47540"/>
  <c r="A165" i="47540"/>
  <c r="A250" i="47540"/>
  <c r="A326" i="47540"/>
  <c r="A383" i="47540"/>
  <c r="A441" i="47540"/>
  <c r="A497" i="47540"/>
  <c r="A554" i="47540"/>
  <c r="A611" i="47540"/>
  <c r="A667" i="47540"/>
  <c r="A725" i="47540"/>
  <c r="A782" i="47540"/>
  <c r="A838" i="47540"/>
  <c r="A895" i="47540"/>
  <c r="A953" i="47540"/>
  <c r="A1009" i="47540"/>
  <c r="A1059" i="47540"/>
  <c r="A1102" i="47540"/>
  <c r="A1144" i="47540"/>
  <c r="A1187" i="47540"/>
  <c r="A1230" i="47540"/>
  <c r="A1272" i="47540"/>
  <c r="A1315" i="47540"/>
  <c r="A1358" i="47540"/>
  <c r="A1392" i="47540"/>
  <c r="A1424" i="47540"/>
  <c r="A13" i="47540"/>
  <c r="A98" i="47540"/>
  <c r="A182" i="47540"/>
  <c r="A269" i="47540"/>
  <c r="A339" i="47540"/>
  <c r="A395" i="47540"/>
  <c r="A453" i="47540"/>
  <c r="A510" i="47540"/>
  <c r="A566" i="47540"/>
  <c r="A623" i="47540"/>
  <c r="A681" i="47540"/>
  <c r="A723" i="47540"/>
  <c r="A837" i="47540"/>
  <c r="A950" i="47540"/>
  <c r="A1058" i="47540"/>
  <c r="A1143" i="47540"/>
  <c r="A1228" i="47540"/>
  <c r="A1314" i="47540"/>
  <c r="A1391" i="47540"/>
  <c r="A671" i="47540"/>
  <c r="A806" i="47540"/>
  <c r="A921" i="47540"/>
  <c r="A1034" i="47540"/>
  <c r="A1120" i="47540"/>
  <c r="A1206" i="47540"/>
  <c r="A1291" i="47540"/>
  <c r="A1374" i="47540"/>
  <c r="A1438" i="47540"/>
  <c r="A773" i="47540"/>
  <c r="A886" i="47540"/>
  <c r="A1001" i="47540"/>
  <c r="A1095" i="47540"/>
  <c r="A1180" i="47540"/>
  <c r="A1266" i="47540"/>
  <c r="A1351" i="47540"/>
  <c r="A1419" i="47540"/>
  <c r="A729" i="47540"/>
  <c r="A842" i="47540"/>
  <c r="A955" i="47540"/>
  <c r="A1062" i="47540"/>
  <c r="A1147" i="47540"/>
  <c r="A1232" i="47540"/>
  <c r="A1318" i="47540"/>
  <c r="A1394" i="47540"/>
  <c r="A72" i="47540"/>
  <c r="A584" i="47540"/>
  <c r="A712" i="47540"/>
  <c r="A776" i="47540"/>
  <c r="A904" i="47540"/>
  <c r="A968" i="47540"/>
  <c r="A129" i="47540"/>
  <c r="A209" i="47540"/>
  <c r="A273" i="47540"/>
  <c r="A370" i="47540"/>
  <c r="A413" i="47540"/>
  <c r="A455" i="47540"/>
  <c r="A541" i="47540"/>
  <c r="A583" i="47540"/>
  <c r="A626" i="47540"/>
  <c r="A669" i="47540"/>
  <c r="A711" i="47540"/>
  <c r="A797" i="47540"/>
  <c r="A839" i="47540"/>
  <c r="A882" i="47540"/>
  <c r="A925" i="47540"/>
  <c r="A967" i="47540"/>
  <c r="A1049" i="47540"/>
  <c r="A1081" i="47540"/>
  <c r="A1113" i="47540"/>
  <c r="A1145" i="47540"/>
  <c r="A1177" i="47540"/>
  <c r="A1209" i="47540"/>
  <c r="A1241" i="47540"/>
  <c r="A1273" i="47540"/>
  <c r="A1337" i="47540"/>
  <c r="A21" i="47540"/>
  <c r="A106" i="47540"/>
  <c r="A190" i="47540"/>
  <c r="A277" i="47540"/>
  <c r="A345" i="47540"/>
  <c r="A401" i="47540"/>
  <c r="A458" i="47540"/>
  <c r="A515" i="47540"/>
  <c r="A571" i="47540"/>
  <c r="A629" i="47540"/>
  <c r="A157" i="47540"/>
  <c r="A242" i="47540"/>
  <c r="A321" i="47540"/>
  <c r="A378" i="47540"/>
  <c r="A435" i="47540"/>
  <c r="A491" i="47540"/>
  <c r="A549" i="47540"/>
  <c r="A606" i="47540"/>
  <c r="A662" i="47540"/>
  <c r="A719" i="47540"/>
  <c r="A777" i="47540"/>
  <c r="A833" i="47540"/>
  <c r="A890" i="47540"/>
  <c r="A947" i="47540"/>
  <c r="A1055" i="47540"/>
  <c r="A1098" i="47540"/>
  <c r="A1140" i="47540"/>
  <c r="A1183" i="47540"/>
  <c r="A1226" i="47540"/>
  <c r="A1268" i="47540"/>
  <c r="A1311" i="47540"/>
  <c r="A1354" i="47540"/>
  <c r="A1389" i="47540"/>
  <c r="A1421" i="47540"/>
  <c r="A14" i="47540"/>
  <c r="A101" i="47540"/>
  <c r="A186" i="47540"/>
  <c r="A270" i="47540"/>
  <c r="A341" i="47540"/>
  <c r="A398" i="47540"/>
  <c r="A454" i="47540"/>
  <c r="A511" i="47540"/>
  <c r="A569" i="47540"/>
  <c r="A625" i="47540"/>
  <c r="A739" i="47540"/>
  <c r="A795" i="47540"/>
  <c r="A853" i="47540"/>
  <c r="A910" i="47540"/>
  <c r="A966" i="47540"/>
  <c r="A1023" i="47540"/>
  <c r="A1070" i="47540"/>
  <c r="A1112" i="47540"/>
  <c r="A1155" i="47540"/>
  <c r="A1198" i="47540"/>
  <c r="A1240" i="47540"/>
  <c r="A1283" i="47540"/>
  <c r="A1326" i="47540"/>
  <c r="A1368" i="47540"/>
  <c r="A1400" i="47540"/>
  <c r="A1432" i="47540"/>
  <c r="A34" i="47540"/>
  <c r="A118" i="47540"/>
  <c r="A205" i="47540"/>
  <c r="A290" i="47540"/>
  <c r="A353" i="47540"/>
  <c r="A410" i="47540"/>
  <c r="A467" i="47540"/>
  <c r="A523" i="47540"/>
  <c r="A581" i="47540"/>
  <c r="A694" i="47540"/>
  <c r="A751" i="47540"/>
  <c r="A865" i="47540"/>
  <c r="A979" i="47540"/>
  <c r="A1079" i="47540"/>
  <c r="A1164" i="47540"/>
  <c r="A1250" i="47540"/>
  <c r="A1335" i="47540"/>
  <c r="A1407" i="47540"/>
  <c r="A721" i="47540"/>
  <c r="A835" i="47540"/>
  <c r="A949" i="47540"/>
  <c r="A1056" i="47540"/>
  <c r="A1142" i="47540"/>
  <c r="A1227" i="47540"/>
  <c r="A1312" i="47540"/>
  <c r="A1390" i="47540"/>
  <c r="A665" i="47540"/>
  <c r="A801" i="47540"/>
  <c r="A915" i="47540"/>
  <c r="A1029" i="47540"/>
  <c r="A1116" i="47540"/>
  <c r="A1202" i="47540"/>
  <c r="A1287" i="47540"/>
  <c r="A1371" i="47540"/>
  <c r="A1435" i="47540"/>
  <c r="A757" i="47540"/>
  <c r="A985" i="47540"/>
  <c r="A1083" i="47540"/>
  <c r="A1168" i="47540"/>
  <c r="A1254" i="47540"/>
  <c r="A1339" i="47540"/>
  <c r="A1410" i="47540"/>
  <c r="A47" i="47540"/>
  <c r="A111" i="47540"/>
  <c r="A175" i="47540"/>
  <c r="A239" i="47540"/>
  <c r="A303" i="47540"/>
  <c r="A136" i="47540"/>
  <c r="A200" i="47540"/>
  <c r="A264" i="47540"/>
  <c r="A328" i="47540"/>
  <c r="A392" i="47540"/>
  <c r="A456" i="47540"/>
  <c r="A520" i="47540"/>
  <c r="A648" i="47540"/>
  <c r="A840" i="47540"/>
  <c r="A1032" i="47540"/>
  <c r="A327" i="47540"/>
  <c r="A498" i="47540"/>
  <c r="A754" i="47540"/>
  <c r="A1010" i="47540"/>
  <c r="A1305" i="47540"/>
  <c r="A70" i="47540"/>
  <c r="A1003" i="47540"/>
  <c r="A682" i="47540"/>
  <c r="A638" i="47540"/>
  <c r="A870" i="47540"/>
  <c r="A79" i="47540"/>
  <c r="A207" i="47540"/>
  <c r="A40" i="47540"/>
  <c r="A168" i="47540"/>
  <c r="A296" i="47540"/>
  <c r="A424" i="47540"/>
  <c r="A552" i="47540"/>
  <c r="A680" i="47540"/>
  <c r="A808" i="47540"/>
  <c r="A936" i="47540"/>
  <c r="A65" i="47540"/>
  <c r="A241" i="47540"/>
  <c r="A349" i="47540"/>
  <c r="A434" i="47540"/>
  <c r="A519" i="47540"/>
  <c r="A605" i="47540"/>
  <c r="A690" i="47540"/>
  <c r="A775" i="47540"/>
  <c r="A861" i="47540"/>
  <c r="A946" i="47540"/>
  <c r="A1031" i="47540"/>
  <c r="A1097" i="47540"/>
  <c r="A1161" i="47540"/>
  <c r="A1225" i="47540"/>
  <c r="A1289" i="47540"/>
  <c r="A1353" i="47540"/>
  <c r="A149" i="47540"/>
  <c r="A315" i="47540"/>
  <c r="A430" i="47540"/>
  <c r="A543" i="47540"/>
  <c r="A29" i="47540"/>
  <c r="A198" i="47540"/>
  <c r="A350" i="47540"/>
  <c r="A577" i="47540"/>
  <c r="A691" i="47540"/>
  <c r="A918" i="47540"/>
  <c r="A1290" i="47540"/>
  <c r="A654" i="47540"/>
  <c r="A609" i="47540"/>
  <c r="A651" i="47540"/>
  <c r="A15" i="47540"/>
  <c r="A143" i="47540"/>
  <c r="A271" i="47540"/>
  <c r="A104" i="47540"/>
  <c r="A232" i="47540"/>
  <c r="A360" i="47540"/>
  <c r="A488" i="47540"/>
  <c r="A616" i="47540"/>
  <c r="A744" i="47540"/>
  <c r="A872" i="47540"/>
  <c r="A1000" i="47540"/>
  <c r="A177" i="47540"/>
  <c r="A305" i="47540"/>
  <c r="A391" i="47540"/>
  <c r="A477" i="47540"/>
  <c r="A562" i="47540"/>
  <c r="A647" i="47540"/>
  <c r="A733" i="47540"/>
  <c r="A818" i="47540"/>
  <c r="A903" i="47540"/>
  <c r="A989" i="47540"/>
  <c r="A1065" i="47540"/>
  <c r="A1129" i="47540"/>
  <c r="A1193" i="47540"/>
  <c r="A1257" i="47540"/>
  <c r="A1321" i="47540"/>
  <c r="A62" i="47540"/>
  <c r="A234" i="47540"/>
  <c r="A373" i="47540"/>
  <c r="A486" i="47540"/>
  <c r="A601" i="47540"/>
  <c r="A114" i="47540"/>
  <c r="A285" i="47540"/>
  <c r="A406" i="47540"/>
  <c r="A521" i="47540"/>
  <c r="A634" i="47540"/>
  <c r="A747" i="47540"/>
  <c r="A862" i="47540"/>
  <c r="A975" i="47540"/>
  <c r="A1076" i="47540"/>
  <c r="A1162" i="47540"/>
  <c r="A1247" i="47540"/>
  <c r="A1332" i="47540"/>
  <c r="A1405" i="47540"/>
  <c r="A58" i="47540"/>
  <c r="A229" i="47540"/>
  <c r="A369" i="47540"/>
  <c r="A483" i="47540"/>
  <c r="A597" i="47540"/>
  <c r="A710" i="47540"/>
  <c r="A825" i="47540"/>
  <c r="A938" i="47540"/>
  <c r="A1048" i="47540"/>
  <c r="A1134" i="47540"/>
  <c r="A1219" i="47540"/>
  <c r="A1304" i="47540"/>
  <c r="A1384" i="47540"/>
  <c r="A1448" i="47540"/>
  <c r="A162" i="47540"/>
  <c r="A325" i="47540"/>
  <c r="A438" i="47540"/>
  <c r="A553" i="47540"/>
  <c r="A666" i="47540"/>
  <c r="A809" i="47540"/>
  <c r="A1035" i="47540"/>
  <c r="A1207" i="47540"/>
  <c r="A1375" i="47540"/>
  <c r="A778" i="47540"/>
  <c r="A1006" i="47540"/>
  <c r="A1184" i="47540"/>
  <c r="A1355" i="47540"/>
  <c r="A745" i="47540"/>
  <c r="A971" i="47540"/>
  <c r="A1159" i="47540"/>
  <c r="A1330" i="47540"/>
  <c r="A686" i="47540"/>
  <c r="A927" i="47540"/>
  <c r="A1126" i="47540"/>
  <c r="A1296" i="47540"/>
  <c r="A1442" i="47540"/>
  <c r="A63" i="47540"/>
  <c r="A191" i="47540"/>
  <c r="A24" i="47540"/>
  <c r="A152" i="47540"/>
  <c r="A280" i="47540"/>
  <c r="A408" i="47540"/>
  <c r="A536" i="47540"/>
  <c r="A664" i="47540"/>
  <c r="A792" i="47540"/>
  <c r="A920" i="47540"/>
  <c r="A33" i="47540"/>
  <c r="A225" i="47540"/>
  <c r="A338" i="47540"/>
  <c r="A423" i="47540"/>
  <c r="A509" i="47540"/>
  <c r="A594" i="47540"/>
  <c r="A679" i="47540"/>
  <c r="A765" i="47540"/>
  <c r="A850" i="47540"/>
  <c r="A935" i="47540"/>
  <c r="A1021" i="47540"/>
  <c r="A1089" i="47540"/>
  <c r="A1153" i="47540"/>
  <c r="A1217" i="47540"/>
  <c r="A1281" i="47540"/>
  <c r="A1345" i="47540"/>
  <c r="A126" i="47540"/>
  <c r="A298" i="47540"/>
  <c r="A415" i="47540"/>
  <c r="A529" i="47540"/>
  <c r="A643" i="47540"/>
  <c r="A178" i="47540"/>
  <c r="A335" i="47540"/>
  <c r="A449" i="47540"/>
  <c r="A563" i="47540"/>
  <c r="A677" i="47540"/>
  <c r="A790" i="47540"/>
  <c r="A905" i="47540"/>
  <c r="A1018" i="47540"/>
  <c r="A1108" i="47540"/>
  <c r="A1194" i="47540"/>
  <c r="A1279" i="47540"/>
  <c r="A1364" i="47540"/>
  <c r="A1429" i="47540"/>
  <c r="A122" i="47540"/>
  <c r="A293" i="47540"/>
  <c r="A411" i="47540"/>
  <c r="A526" i="47540"/>
  <c r="A639" i="47540"/>
  <c r="A753" i="47540"/>
  <c r="A867" i="47540"/>
  <c r="A981" i="47540"/>
  <c r="A1080" i="47540"/>
  <c r="A1166" i="47540"/>
  <c r="A1251" i="47540"/>
  <c r="A1336" i="47540"/>
  <c r="A1408" i="47540"/>
  <c r="A54" i="47540"/>
  <c r="A226" i="47540"/>
  <c r="A367" i="47540"/>
  <c r="A481" i="47540"/>
  <c r="A595" i="47540"/>
  <c r="A709" i="47540"/>
  <c r="A894" i="47540"/>
  <c r="A1100" i="47540"/>
  <c r="A1271" i="47540"/>
  <c r="A1423" i="47540"/>
  <c r="A863" i="47540"/>
  <c r="A1078" i="47540"/>
  <c r="A1248" i="47540"/>
  <c r="A1406" i="47540"/>
  <c r="A830" i="47540"/>
  <c r="A1052" i="47540"/>
  <c r="A1223" i="47540"/>
  <c r="A1387" i="47540"/>
  <c r="A785" i="47540"/>
  <c r="A1013" i="47540"/>
  <c r="A1190" i="47540"/>
  <c r="A1360" i="47540"/>
  <c r="A463" i="47540"/>
  <c r="A805" i="47540"/>
  <c r="A1033" i="47540"/>
  <c r="A1119" i="47540"/>
  <c r="A1204" i="47540"/>
  <c r="A1373" i="47540"/>
  <c r="A1437" i="47540"/>
  <c r="A142" i="47540"/>
  <c r="A313" i="47540"/>
  <c r="A426" i="47540"/>
  <c r="A539" i="47540"/>
  <c r="A767" i="47540"/>
  <c r="A881" i="47540"/>
  <c r="A995" i="47540"/>
  <c r="A1091" i="47540"/>
  <c r="A1176" i="47540"/>
  <c r="A1262" i="47540"/>
  <c r="A1347" i="47540"/>
  <c r="A1416" i="47540"/>
  <c r="A77" i="47540"/>
  <c r="A246" i="47540"/>
  <c r="A382" i="47540"/>
  <c r="A495" i="47540"/>
  <c r="A678" i="47540"/>
  <c r="A922" i="47540"/>
  <c r="A1122" i="47540"/>
  <c r="A1292" i="47540"/>
  <c r="A1439" i="47540"/>
  <c r="A891" i="47540"/>
  <c r="A1099" i="47540"/>
  <c r="A1270" i="47540"/>
  <c r="A1422" i="47540"/>
  <c r="A858" i="47540"/>
  <c r="A1074" i="47540"/>
  <c r="A1244" i="47540"/>
  <c r="A1403" i="47540"/>
  <c r="A814" i="47540"/>
  <c r="A1040" i="47540"/>
  <c r="A1211" i="47540"/>
  <c r="A1378" i="47540"/>
  <c r="A127" i="47540"/>
  <c r="A255" i="47540"/>
  <c r="A88" i="47540"/>
  <c r="A216" i="47540"/>
  <c r="A344" i="47540"/>
  <c r="A472" i="47540"/>
  <c r="A600" i="47540"/>
  <c r="A728" i="47540"/>
  <c r="A856" i="47540"/>
  <c r="A984" i="47540"/>
  <c r="A161" i="47540"/>
  <c r="A289" i="47540"/>
  <c r="A381" i="47540"/>
  <c r="A466" i="47540"/>
  <c r="A551" i="47540"/>
  <c r="A637" i="47540"/>
  <c r="A722" i="47540"/>
  <c r="A807" i="47540"/>
  <c r="A893" i="47540"/>
  <c r="A978" i="47540"/>
  <c r="A1057" i="47540"/>
  <c r="A1121" i="47540"/>
  <c r="A1185" i="47540"/>
  <c r="A1249" i="47540"/>
  <c r="A1313" i="47540"/>
  <c r="A42" i="47540"/>
  <c r="A213" i="47540"/>
  <c r="A358" i="47540"/>
  <c r="A473" i="47540"/>
  <c r="A586" i="47540"/>
  <c r="A93" i="47540"/>
  <c r="A262" i="47540"/>
  <c r="A393" i="47540"/>
  <c r="A506" i="47540"/>
  <c r="A619" i="47540"/>
  <c r="A734" i="47540"/>
  <c r="A847" i="47540"/>
  <c r="A961" i="47540"/>
  <c r="A1066" i="47540"/>
  <c r="A1151" i="47540"/>
  <c r="A1236" i="47540"/>
  <c r="A1322" i="47540"/>
  <c r="A1397" i="47540"/>
  <c r="A37" i="47540"/>
  <c r="A206" i="47540"/>
  <c r="A355" i="47540"/>
  <c r="A469" i="47540"/>
  <c r="A582" i="47540"/>
  <c r="A697" i="47540"/>
  <c r="A810" i="47540"/>
  <c r="A923" i="47540"/>
  <c r="A1038" i="47540"/>
  <c r="A1123" i="47540"/>
  <c r="A1208" i="47540"/>
  <c r="A1294" i="47540"/>
  <c r="A1376" i="47540"/>
  <c r="A1440" i="47540"/>
  <c r="A141" i="47540"/>
  <c r="A310" i="47540"/>
  <c r="A425" i="47540"/>
  <c r="A538" i="47540"/>
  <c r="A779" i="47540"/>
  <c r="A1007" i="47540"/>
  <c r="A1186" i="47540"/>
  <c r="A1356" i="47540"/>
  <c r="A750" i="47540"/>
  <c r="A977" i="47540"/>
  <c r="A1163" i="47540"/>
  <c r="A1334" i="47540"/>
  <c r="A715" i="47540"/>
  <c r="A943" i="47540"/>
  <c r="A1138" i="47540"/>
  <c r="A1308" i="47540"/>
  <c r="A1451" i="47540"/>
  <c r="A899" i="47540"/>
  <c r="A1104" i="47540"/>
  <c r="A1275" i="47540"/>
  <c r="A1426" i="47540"/>
  <c r="H18" i="47540"/>
  <c r="H34" i="47540"/>
  <c r="H50" i="47540"/>
  <c r="H66" i="47540"/>
  <c r="H82" i="47540"/>
  <c r="H98" i="47540"/>
  <c r="H114" i="47540"/>
  <c r="H130" i="47540"/>
  <c r="H146" i="47540"/>
  <c r="H162" i="47540"/>
  <c r="H178" i="47540"/>
  <c r="H194" i="47540"/>
  <c r="H210" i="47540"/>
  <c r="H226" i="47540"/>
  <c r="H242" i="47540"/>
  <c r="H258" i="47540"/>
  <c r="H274" i="47540"/>
  <c r="H290" i="47540"/>
  <c r="H306" i="47540"/>
  <c r="H322" i="47540"/>
  <c r="H338" i="47540"/>
  <c r="H354" i="47540"/>
  <c r="H370" i="47540"/>
  <c r="H386" i="47540"/>
  <c r="H402" i="47540"/>
  <c r="H418" i="47540"/>
  <c r="H434" i="47540"/>
  <c r="H450" i="47540"/>
  <c r="H466" i="47540"/>
  <c r="H482" i="47540"/>
  <c r="H498" i="47540"/>
  <c r="H514" i="47540"/>
  <c r="H530" i="47540"/>
  <c r="H546" i="47540"/>
  <c r="H562" i="47540"/>
  <c r="H578" i="47540"/>
  <c r="H594" i="47540"/>
  <c r="H610" i="47540"/>
  <c r="H626" i="47540"/>
  <c r="H642" i="47540"/>
  <c r="H658" i="47540"/>
  <c r="H674" i="47540"/>
  <c r="H690" i="47540"/>
  <c r="H706" i="47540"/>
  <c r="H722" i="47540"/>
  <c r="H22" i="47540"/>
  <c r="H42" i="47540"/>
  <c r="H62" i="47540"/>
  <c r="H86" i="47540"/>
  <c r="H106" i="47540"/>
  <c r="H126" i="47540"/>
  <c r="H150" i="47540"/>
  <c r="H170" i="47540"/>
  <c r="H190" i="47540"/>
  <c r="H214" i="47540"/>
  <c r="H234" i="47540"/>
  <c r="H254" i="47540"/>
  <c r="H278" i="47540"/>
  <c r="H298" i="47540"/>
  <c r="H318" i="47540"/>
  <c r="H342" i="47540"/>
  <c r="H362" i="47540"/>
  <c r="H382" i="47540"/>
  <c r="H406" i="47540"/>
  <c r="H426" i="47540"/>
  <c r="H446" i="47540"/>
  <c r="H470" i="47540"/>
  <c r="H490" i="47540"/>
  <c r="H510" i="47540"/>
  <c r="H534" i="47540"/>
  <c r="H554" i="47540"/>
  <c r="H574" i="47540"/>
  <c r="H598" i="47540"/>
  <c r="H618" i="47540"/>
  <c r="H638" i="47540"/>
  <c r="H662" i="47540"/>
  <c r="H682" i="47540"/>
  <c r="H702" i="47540"/>
  <c r="H726" i="47540"/>
  <c r="H742" i="47540"/>
  <c r="H758" i="47540"/>
  <c r="H774" i="47540"/>
  <c r="H790" i="47540"/>
  <c r="H806" i="47540"/>
  <c r="H822" i="47540"/>
  <c r="H838" i="47540"/>
  <c r="H854" i="47540"/>
  <c r="H870" i="47540"/>
  <c r="H886" i="47540"/>
  <c r="H902" i="47540"/>
  <c r="H918" i="47540"/>
  <c r="H934" i="47540"/>
  <c r="H950" i="47540"/>
  <c r="H966" i="47540"/>
  <c r="H982" i="47540"/>
  <c r="H998" i="47540"/>
  <c r="H1014" i="47540"/>
  <c r="H1030" i="47540"/>
  <c r="H27" i="47540"/>
  <c r="H48" i="47540"/>
  <c r="H69" i="47540"/>
  <c r="H91" i="47540"/>
  <c r="H112" i="47540"/>
  <c r="H133" i="47540"/>
  <c r="H155" i="47540"/>
  <c r="H176" i="47540"/>
  <c r="H197" i="47540"/>
  <c r="H219" i="47540"/>
  <c r="H240" i="47540"/>
  <c r="H261" i="47540"/>
  <c r="H283" i="47540"/>
  <c r="H304" i="47540"/>
  <c r="H325" i="47540"/>
  <c r="H347" i="47540"/>
  <c r="H368" i="47540"/>
  <c r="H389" i="47540"/>
  <c r="H411" i="47540"/>
  <c r="H432" i="47540"/>
  <c r="H453" i="47540"/>
  <c r="H475" i="47540"/>
  <c r="H496" i="47540"/>
  <c r="H517" i="47540"/>
  <c r="H539" i="47540"/>
  <c r="H560" i="47540"/>
  <c r="H581" i="47540"/>
  <c r="H603" i="47540"/>
  <c r="H624" i="47540"/>
  <c r="H645" i="47540"/>
  <c r="H667" i="47540"/>
  <c r="H33" i="47540"/>
  <c r="H55" i="47540"/>
  <c r="H76" i="47540"/>
  <c r="H97" i="47540"/>
  <c r="H119" i="47540"/>
  <c r="H140" i="47540"/>
  <c r="H161" i="47540"/>
  <c r="H183" i="47540"/>
  <c r="H204" i="47540"/>
  <c r="H225" i="47540"/>
  <c r="H247" i="47540"/>
  <c r="H268" i="47540"/>
  <c r="H289" i="47540"/>
  <c r="H311" i="47540"/>
  <c r="H332" i="47540"/>
  <c r="H353" i="47540"/>
  <c r="H375" i="47540"/>
  <c r="H396" i="47540"/>
  <c r="H417" i="47540"/>
  <c r="H439" i="47540"/>
  <c r="H460" i="47540"/>
  <c r="H481" i="47540"/>
  <c r="H503" i="47540"/>
  <c r="H524" i="47540"/>
  <c r="H545" i="47540"/>
  <c r="H567" i="47540"/>
  <c r="H588" i="47540"/>
  <c r="H609" i="47540"/>
  <c r="H631" i="47540"/>
  <c r="H652" i="47540"/>
  <c r="H673" i="47540"/>
  <c r="H695" i="47540"/>
  <c r="H716" i="47540"/>
  <c r="H737" i="47540"/>
  <c r="H759" i="47540"/>
  <c r="H780" i="47540"/>
  <c r="H801" i="47540"/>
  <c r="H823" i="47540"/>
  <c r="H844" i="47540"/>
  <c r="H865" i="47540"/>
  <c r="H887" i="47540"/>
  <c r="H908" i="47540"/>
  <c r="H929" i="47540"/>
  <c r="H951" i="47540"/>
  <c r="H972" i="47540"/>
  <c r="H993" i="47540"/>
  <c r="H1015" i="47540"/>
  <c r="H1036" i="47540"/>
  <c r="H1052" i="47540"/>
  <c r="H1068" i="47540"/>
  <c r="H1084" i="47540"/>
  <c r="H1100" i="47540"/>
  <c r="H1116" i="47540"/>
  <c r="H1132" i="47540"/>
  <c r="H1148" i="47540"/>
  <c r="H1164" i="47540"/>
  <c r="H1180" i="47540"/>
  <c r="H1196" i="47540"/>
  <c r="H1212" i="47540"/>
  <c r="H1228" i="47540"/>
  <c r="H1244" i="47540"/>
  <c r="H1260" i="47540"/>
  <c r="H1276" i="47540"/>
  <c r="H20" i="47540"/>
  <c r="H63" i="47540"/>
  <c r="H105" i="47540"/>
  <c r="H148" i="47540"/>
  <c r="H191" i="47540"/>
  <c r="H233" i="47540"/>
  <c r="H276" i="47540"/>
  <c r="H319" i="47540"/>
  <c r="H361" i="47540"/>
  <c r="H404" i="47540"/>
  <c r="H447" i="47540"/>
  <c r="H489" i="47540"/>
  <c r="H532" i="47540"/>
  <c r="H575" i="47540"/>
  <c r="H617" i="47540"/>
  <c r="H660" i="47540"/>
  <c r="H692" i="47540"/>
  <c r="H720" i="47540"/>
  <c r="H749" i="47540"/>
  <c r="H777" i="47540"/>
  <c r="H805" i="47540"/>
  <c r="H835" i="47540"/>
  <c r="H863" i="47540"/>
  <c r="H891" i="47540"/>
  <c r="H920" i="47540"/>
  <c r="H948" i="47540"/>
  <c r="H976" i="47540"/>
  <c r="H1005" i="47540"/>
  <c r="H1033" i="47540"/>
  <c r="H1055" i="47540"/>
  <c r="H1077" i="47540"/>
  <c r="H1098" i="47540"/>
  <c r="H1119" i="47540"/>
  <c r="H1141" i="47540"/>
  <c r="H1162" i="47540"/>
  <c r="H1183" i="47540"/>
  <c r="H1205" i="47540"/>
  <c r="H1226" i="47540"/>
  <c r="H1247" i="47540"/>
  <c r="H19" i="47540"/>
  <c r="H61" i="47540"/>
  <c r="H104" i="47540"/>
  <c r="H147" i="47540"/>
  <c r="H189" i="47540"/>
  <c r="H232" i="47540"/>
  <c r="H275" i="47540"/>
  <c r="H317" i="47540"/>
  <c r="H360" i="47540"/>
  <c r="H403" i="47540"/>
  <c r="H445" i="47540"/>
  <c r="H488" i="47540"/>
  <c r="H531" i="47540"/>
  <c r="H573" i="47540"/>
  <c r="H616" i="47540"/>
  <c r="H659" i="47540"/>
  <c r="H691" i="47540"/>
  <c r="H719" i="47540"/>
  <c r="H747" i="47540"/>
  <c r="H776" i="47540"/>
  <c r="H804" i="47540"/>
  <c r="H832" i="47540"/>
  <c r="H861" i="47540"/>
  <c r="H889" i="47540"/>
  <c r="H917" i="47540"/>
  <c r="H947" i="47540"/>
  <c r="H975" i="47540"/>
  <c r="H1003" i="47540"/>
  <c r="H1032" i="47540"/>
  <c r="H1054" i="47540"/>
  <c r="H1075" i="47540"/>
  <c r="H1097" i="47540"/>
  <c r="H1118" i="47540"/>
  <c r="H1139" i="47540"/>
  <c r="H1161" i="47540"/>
  <c r="H1182" i="47540"/>
  <c r="H1203" i="47540"/>
  <c r="H1225" i="47540"/>
  <c r="H1246" i="47540"/>
  <c r="H1267" i="47540"/>
  <c r="H1289" i="47540"/>
  <c r="H1305" i="47540"/>
  <c r="H1321" i="47540"/>
  <c r="H1337" i="47540"/>
  <c r="H1353" i="47540"/>
  <c r="H1369" i="47540"/>
  <c r="H1385" i="47540"/>
  <c r="H1401" i="47540"/>
  <c r="H1417" i="47540"/>
  <c r="H1433" i="47540"/>
  <c r="H1449" i="47540"/>
  <c r="H47" i="47540"/>
  <c r="H89" i="47540"/>
  <c r="H132" i="47540"/>
  <c r="H175" i="47540"/>
  <c r="H217" i="47540"/>
  <c r="H260" i="47540"/>
  <c r="H303" i="47540"/>
  <c r="H345" i="47540"/>
  <c r="H388" i="47540"/>
  <c r="H431" i="47540"/>
  <c r="H473" i="47540"/>
  <c r="H516" i="47540"/>
  <c r="H559" i="47540"/>
  <c r="H601" i="47540"/>
  <c r="H644" i="47540"/>
  <c r="H681" i="47540"/>
  <c r="H709" i="47540"/>
  <c r="H739" i="47540"/>
  <c r="H767" i="47540"/>
  <c r="H795" i="47540"/>
  <c r="H824" i="47540"/>
  <c r="H852" i="47540"/>
  <c r="H880" i="47540"/>
  <c r="H909" i="47540"/>
  <c r="H937" i="47540"/>
  <c r="H965" i="47540"/>
  <c r="H995" i="47540"/>
  <c r="H1023" i="47540"/>
  <c r="H1047" i="47540"/>
  <c r="H1069" i="47540"/>
  <c r="H1090" i="47540"/>
  <c r="H1111" i="47540"/>
  <c r="H1133" i="47540"/>
  <c r="H1154" i="47540"/>
  <c r="H1175" i="47540"/>
  <c r="H1197" i="47540"/>
  <c r="H1218" i="47540"/>
  <c r="H1239" i="47540"/>
  <c r="H1261" i="47540"/>
  <c r="H1282" i="47540"/>
  <c r="H1300" i="47540"/>
  <c r="H1316" i="47540"/>
  <c r="H1332" i="47540"/>
  <c r="H1348" i="47540"/>
  <c r="H1364" i="47540"/>
  <c r="H1380" i="47540"/>
  <c r="H1396" i="47540"/>
  <c r="H1412" i="47540"/>
  <c r="H1428" i="47540"/>
  <c r="H1444" i="47540"/>
  <c r="H24" i="47540"/>
  <c r="H67" i="47540"/>
  <c r="H109" i="47540"/>
  <c r="H152" i="47540"/>
  <c r="H195" i="47540"/>
  <c r="H237" i="47540"/>
  <c r="H280" i="47540"/>
  <c r="H323" i="47540"/>
  <c r="H365" i="47540"/>
  <c r="H408" i="47540"/>
  <c r="H451" i="47540"/>
  <c r="H493" i="47540"/>
  <c r="H536" i="47540"/>
  <c r="H579" i="47540"/>
  <c r="H621" i="47540"/>
  <c r="H664" i="47540"/>
  <c r="H693" i="47540"/>
  <c r="H723" i="47540"/>
  <c r="H751" i="47540"/>
  <c r="H779" i="47540"/>
  <c r="H808" i="47540"/>
  <c r="H836" i="47540"/>
  <c r="H864" i="47540"/>
  <c r="H893" i="47540"/>
  <c r="H921" i="47540"/>
  <c r="H949" i="47540"/>
  <c r="H979" i="47540"/>
  <c r="H1021" i="47540"/>
  <c r="H1110" i="47540"/>
  <c r="H1195" i="47540"/>
  <c r="H1274" i="47540"/>
  <c r="H1310" i="47540"/>
  <c r="H1342" i="47540"/>
  <c r="H1374" i="47540"/>
  <c r="H1406" i="47540"/>
  <c r="H1438" i="47540"/>
  <c r="H1062" i="47540"/>
  <c r="H1147" i="47540"/>
  <c r="H1233" i="47540"/>
  <c r="H1291" i="47540"/>
  <c r="H1323" i="47540"/>
  <c r="H1355" i="47540"/>
  <c r="H1387" i="47540"/>
  <c r="H1419" i="47540"/>
  <c r="H1451" i="47540"/>
  <c r="H1078" i="47540"/>
  <c r="H1163" i="47540"/>
  <c r="H1249" i="47540"/>
  <c r="H1298" i="47540"/>
  <c r="H1330" i="47540"/>
  <c r="H1362" i="47540"/>
  <c r="H1394" i="47540"/>
  <c r="H1426" i="47540"/>
  <c r="H1028" i="47540"/>
  <c r="H1115" i="47540"/>
  <c r="H1201" i="47540"/>
  <c r="H1275" i="47540"/>
  <c r="H1311" i="47540"/>
  <c r="H1343" i="47540"/>
  <c r="H1375" i="47540"/>
  <c r="H1407" i="47540"/>
  <c r="H1439" i="47540"/>
  <c r="H38" i="47540"/>
  <c r="H70" i="47540"/>
  <c r="H94" i="47540"/>
  <c r="H122" i="47540"/>
  <c r="H154" i="47540"/>
  <c r="H182" i="47540"/>
  <c r="H206" i="47540"/>
  <c r="H238" i="47540"/>
  <c r="H266" i="47540"/>
  <c r="H294" i="47540"/>
  <c r="H326" i="47540"/>
  <c r="H350" i="47540"/>
  <c r="H378" i="47540"/>
  <c r="H410" i="47540"/>
  <c r="H438" i="47540"/>
  <c r="H462" i="47540"/>
  <c r="H494" i="47540"/>
  <c r="H522" i="47540"/>
  <c r="H550" i="47540"/>
  <c r="H582" i="47540"/>
  <c r="H606" i="47540"/>
  <c r="H634" i="47540"/>
  <c r="H666" i="47540"/>
  <c r="H694" i="47540"/>
  <c r="H718" i="47540"/>
  <c r="H746" i="47540"/>
  <c r="H766" i="47540"/>
  <c r="H786" i="47540"/>
  <c r="H810" i="47540"/>
  <c r="H830" i="47540"/>
  <c r="H850" i="47540"/>
  <c r="H874" i="47540"/>
  <c r="H894" i="47540"/>
  <c r="H914" i="47540"/>
  <c r="H938" i="47540"/>
  <c r="H958" i="47540"/>
  <c r="H978" i="47540"/>
  <c r="H1002" i="47540"/>
  <c r="H1022" i="47540"/>
  <c r="H21" i="47540"/>
  <c r="H53" i="47540"/>
  <c r="H80" i="47540"/>
  <c r="H107" i="47540"/>
  <c r="H139" i="47540"/>
  <c r="H165" i="47540"/>
  <c r="H192" i="47540"/>
  <c r="H224" i="47540"/>
  <c r="H251" i="47540"/>
  <c r="H277" i="47540"/>
  <c r="H309" i="47540"/>
  <c r="H336" i="47540"/>
  <c r="H363" i="47540"/>
  <c r="H395" i="47540"/>
  <c r="H421" i="47540"/>
  <c r="H448" i="47540"/>
  <c r="H480" i="47540"/>
  <c r="H507" i="47540"/>
  <c r="H533" i="47540"/>
  <c r="H565" i="47540"/>
  <c r="H592" i="47540"/>
  <c r="H619" i="47540"/>
  <c r="H651" i="47540"/>
  <c r="H23" i="47540"/>
  <c r="H49" i="47540"/>
  <c r="H81" i="47540"/>
  <c r="H108" i="47540"/>
  <c r="H135" i="47540"/>
  <c r="H167" i="47540"/>
  <c r="H193" i="47540"/>
  <c r="H220" i="47540"/>
  <c r="H252" i="47540"/>
  <c r="H279" i="47540"/>
  <c r="H305" i="47540"/>
  <c r="H337" i="47540"/>
  <c r="H364" i="47540"/>
  <c r="H391" i="47540"/>
  <c r="H423" i="47540"/>
  <c r="H449" i="47540"/>
  <c r="H476" i="47540"/>
  <c r="H508" i="47540"/>
  <c r="H535" i="47540"/>
  <c r="H561" i="47540"/>
  <c r="H593" i="47540"/>
  <c r="H620" i="47540"/>
  <c r="H647" i="47540"/>
  <c r="H679" i="47540"/>
  <c r="H705" i="47540"/>
  <c r="H732" i="47540"/>
  <c r="H764" i="47540"/>
  <c r="H791" i="47540"/>
  <c r="H817" i="47540"/>
  <c r="H849" i="47540"/>
  <c r="H876" i="47540"/>
  <c r="H903" i="47540"/>
  <c r="H935" i="47540"/>
  <c r="H961" i="47540"/>
  <c r="H988" i="47540"/>
  <c r="H1020" i="47540"/>
  <c r="H1044" i="47540"/>
  <c r="H1064" i="47540"/>
  <c r="H1088" i="47540"/>
  <c r="H1108" i="47540"/>
  <c r="H1128" i="47540"/>
  <c r="H1152" i="47540"/>
  <c r="H1172" i="47540"/>
  <c r="H1192" i="47540"/>
  <c r="H1216" i="47540"/>
  <c r="H1236" i="47540"/>
  <c r="H1256" i="47540"/>
  <c r="H1280" i="47540"/>
  <c r="H41" i="47540"/>
  <c r="H95" i="47540"/>
  <c r="H159" i="47540"/>
  <c r="H212" i="47540"/>
  <c r="H265" i="47540"/>
  <c r="H329" i="47540"/>
  <c r="H383" i="47540"/>
  <c r="H436" i="47540"/>
  <c r="H500" i="47540"/>
  <c r="H553" i="47540"/>
  <c r="H607" i="47540"/>
  <c r="H671" i="47540"/>
  <c r="H707" i="47540"/>
  <c r="H741" i="47540"/>
  <c r="H784" i="47540"/>
  <c r="H820" i="47540"/>
  <c r="H856" i="47540"/>
  <c r="H899" i="47540"/>
  <c r="H933" i="47540"/>
  <c r="H969" i="47540"/>
  <c r="H1012" i="47540"/>
  <c r="H1045" i="47540"/>
  <c r="H1071" i="47540"/>
  <c r="H1103" i="47540"/>
  <c r="H1130" i="47540"/>
  <c r="H1157" i="47540"/>
  <c r="H1189" i="47540"/>
  <c r="H1215" i="47540"/>
  <c r="H1242" i="47540"/>
  <c r="H29" i="47540"/>
  <c r="H83" i="47540"/>
  <c r="H136" i="47540"/>
  <c r="H200" i="47540"/>
  <c r="H253" i="47540"/>
  <c r="H307" i="47540"/>
  <c r="H371" i="47540"/>
  <c r="H424" i="47540"/>
  <c r="H477" i="47540"/>
  <c r="H541" i="47540"/>
  <c r="H595" i="47540"/>
  <c r="H648" i="47540"/>
  <c r="H697" i="47540"/>
  <c r="H733" i="47540"/>
  <c r="H768" i="47540"/>
  <c r="H811" i="47540"/>
  <c r="H847" i="47540"/>
  <c r="H883" i="47540"/>
  <c r="H925" i="47540"/>
  <c r="H960" i="47540"/>
  <c r="H996" i="47540"/>
  <c r="H1038" i="47540"/>
  <c r="H1065" i="47540"/>
  <c r="H1091" i="47540"/>
  <c r="H1123" i="47540"/>
  <c r="H1150" i="47540"/>
  <c r="H1177" i="47540"/>
  <c r="H1209" i="47540"/>
  <c r="H1235" i="47540"/>
  <c r="H1262" i="47540"/>
  <c r="H1293" i="47540"/>
  <c r="H1313" i="47540"/>
  <c r="H1333" i="47540"/>
  <c r="H1357" i="47540"/>
  <c r="H1377" i="47540"/>
  <c r="H1397" i="47540"/>
  <c r="H1421" i="47540"/>
  <c r="H1441" i="47540"/>
  <c r="H36" i="47540"/>
  <c r="H100" i="47540"/>
  <c r="H153" i="47540"/>
  <c r="H207" i="47540"/>
  <c r="H271" i="47540"/>
  <c r="H324" i="47540"/>
  <c r="H377" i="47540"/>
  <c r="H441" i="47540"/>
  <c r="H495" i="47540"/>
  <c r="H548" i="47540"/>
  <c r="H612" i="47540"/>
  <c r="H665" i="47540"/>
  <c r="H703" i="47540"/>
  <c r="H745" i="47540"/>
  <c r="H781" i="47540"/>
  <c r="H816" i="47540"/>
  <c r="H859" i="47540"/>
  <c r="H895" i="47540"/>
  <c r="H931" i="47540"/>
  <c r="H973" i="47540"/>
  <c r="H1008" i="47540"/>
  <c r="H1042" i="47540"/>
  <c r="H1074" i="47540"/>
  <c r="H1101" i="47540"/>
  <c r="H1127" i="47540"/>
  <c r="H1159" i="47540"/>
  <c r="H1186" i="47540"/>
  <c r="H1213" i="47540"/>
  <c r="H1245" i="47540"/>
  <c r="H1271" i="47540"/>
  <c r="H1296" i="47540"/>
  <c r="H1320" i="47540"/>
  <c r="H1340" i="47540"/>
  <c r="H1360" i="47540"/>
  <c r="H1384" i="47540"/>
  <c r="H1404" i="47540"/>
  <c r="H1424" i="47540"/>
  <c r="H1448" i="47540"/>
  <c r="H45" i="47540"/>
  <c r="H99" i="47540"/>
  <c r="H163" i="47540"/>
  <c r="H216" i="47540"/>
  <c r="H269" i="47540"/>
  <c r="H333" i="47540"/>
  <c r="H387" i="47540"/>
  <c r="H440" i="47540"/>
  <c r="H504" i="47540"/>
  <c r="H557" i="47540"/>
  <c r="H611" i="47540"/>
  <c r="H672" i="47540"/>
  <c r="H708" i="47540"/>
  <c r="H744" i="47540"/>
  <c r="H787" i="47540"/>
  <c r="H821" i="47540"/>
  <c r="H857" i="47540"/>
  <c r="H900" i="47540"/>
  <c r="H936" i="47540"/>
  <c r="H971" i="47540"/>
  <c r="H1046" i="47540"/>
  <c r="H1153" i="47540"/>
  <c r="H1259" i="47540"/>
  <c r="H1318" i="47540"/>
  <c r="H1358" i="47540"/>
  <c r="H1398" i="47540"/>
  <c r="H1446" i="47540"/>
  <c r="H1105" i="47540"/>
  <c r="H1211" i="47540"/>
  <c r="H1299" i="47540"/>
  <c r="H1339" i="47540"/>
  <c r="H1379" i="47540"/>
  <c r="H1427" i="47540"/>
  <c r="H1035" i="47540"/>
  <c r="H1142" i="47540"/>
  <c r="H1269" i="47540"/>
  <c r="H1314" i="47540"/>
  <c r="H1354" i="47540"/>
  <c r="H1402" i="47540"/>
  <c r="H1442" i="47540"/>
  <c r="H1094" i="47540"/>
  <c r="H1222" i="47540"/>
  <c r="H1295" i="47540"/>
  <c r="H1335" i="47540"/>
  <c r="H1383" i="47540"/>
  <c r="H1423" i="47540"/>
  <c r="H26" i="47540"/>
  <c r="H58" i="47540"/>
  <c r="H102" i="47540"/>
  <c r="H138" i="47540"/>
  <c r="H174" i="47540"/>
  <c r="H218" i="47540"/>
  <c r="H250" i="47540"/>
  <c r="H286" i="47540"/>
  <c r="H330" i="47540"/>
  <c r="H366" i="47540"/>
  <c r="H398" i="47540"/>
  <c r="H442" i="47540"/>
  <c r="H478" i="47540"/>
  <c r="H518" i="47540"/>
  <c r="H558" i="47540"/>
  <c r="H590" i="47540"/>
  <c r="H630" i="47540"/>
  <c r="H670" i="47540"/>
  <c r="H710" i="47540"/>
  <c r="H738" i="47540"/>
  <c r="H770" i="47540"/>
  <c r="H798" i="47540"/>
  <c r="H826" i="47540"/>
  <c r="H858" i="47540"/>
  <c r="H882" i="47540"/>
  <c r="H910" i="47540"/>
  <c r="H942" i="47540"/>
  <c r="H970" i="47540"/>
  <c r="H994" i="47540"/>
  <c r="H1026" i="47540"/>
  <c r="H37" i="47540"/>
  <c r="H75" i="47540"/>
  <c r="H117" i="47540"/>
  <c r="H149" i="47540"/>
  <c r="H187" i="47540"/>
  <c r="H229" i="47540"/>
  <c r="H267" i="47540"/>
  <c r="H299" i="47540"/>
  <c r="H341" i="47540"/>
  <c r="H379" i="47540"/>
  <c r="H416" i="47540"/>
  <c r="H459" i="47540"/>
  <c r="H491" i="47540"/>
  <c r="H528" i="47540"/>
  <c r="H571" i="47540"/>
  <c r="H608" i="47540"/>
  <c r="H640" i="47540"/>
  <c r="H28" i="47540"/>
  <c r="H65" i="47540"/>
  <c r="H103" i="47540"/>
  <c r="H145" i="47540"/>
  <c r="H177" i="47540"/>
  <c r="H215" i="47540"/>
  <c r="H257" i="47540"/>
  <c r="H295" i="47540"/>
  <c r="H327" i="47540"/>
  <c r="H369" i="47540"/>
  <c r="H407" i="47540"/>
  <c r="H444" i="47540"/>
  <c r="H487" i="47540"/>
  <c r="H519" i="47540"/>
  <c r="H556" i="47540"/>
  <c r="H599" i="47540"/>
  <c r="H636" i="47540"/>
  <c r="H668" i="47540"/>
  <c r="H711" i="47540"/>
  <c r="H46" i="47540"/>
  <c r="H78" i="47540"/>
  <c r="H118" i="47540"/>
  <c r="H158" i="47540"/>
  <c r="H198" i="47540"/>
  <c r="H230" i="47540"/>
  <c r="H270" i="47540"/>
  <c r="H310" i="47540"/>
  <c r="H346" i="47540"/>
  <c r="H390" i="47540"/>
  <c r="H422" i="47540"/>
  <c r="H458" i="47540"/>
  <c r="H502" i="47540"/>
  <c r="H538" i="47540"/>
  <c r="H570" i="47540"/>
  <c r="H614" i="47540"/>
  <c r="H650" i="47540"/>
  <c r="H686" i="47540"/>
  <c r="H730" i="47540"/>
  <c r="H754" i="47540"/>
  <c r="H782" i="47540"/>
  <c r="H814" i="47540"/>
  <c r="H842" i="47540"/>
  <c r="H866" i="47540"/>
  <c r="H898" i="47540"/>
  <c r="H926" i="47540"/>
  <c r="H954" i="47540"/>
  <c r="H986" i="47540"/>
  <c r="H1010" i="47540"/>
  <c r="H16" i="47540"/>
  <c r="H59" i="47540"/>
  <c r="H96" i="47540"/>
  <c r="H128" i="47540"/>
  <c r="H171" i="47540"/>
  <c r="H208" i="47540"/>
  <c r="H245" i="47540"/>
  <c r="H288" i="47540"/>
  <c r="H320" i="47540"/>
  <c r="H357" i="47540"/>
  <c r="H400" i="47540"/>
  <c r="H437" i="47540"/>
  <c r="H469" i="47540"/>
  <c r="H512" i="47540"/>
  <c r="H549" i="47540"/>
  <c r="H587" i="47540"/>
  <c r="H629" i="47540"/>
  <c r="H661" i="47540"/>
  <c r="H44" i="47540"/>
  <c r="H87" i="47540"/>
  <c r="H124" i="47540"/>
  <c r="H156" i="47540"/>
  <c r="H199" i="47540"/>
  <c r="H236" i="47540"/>
  <c r="H273" i="47540"/>
  <c r="H316" i="47540"/>
  <c r="H348" i="47540"/>
  <c r="H385" i="47540"/>
  <c r="H428" i="47540"/>
  <c r="H465" i="47540"/>
  <c r="H497" i="47540"/>
  <c r="H540" i="47540"/>
  <c r="H577" i="47540"/>
  <c r="H615" i="47540"/>
  <c r="H657" i="47540"/>
  <c r="H689" i="47540"/>
  <c r="H727" i="47540"/>
  <c r="H769" i="47540"/>
  <c r="H807" i="47540"/>
  <c r="H839" i="47540"/>
  <c r="H881" i="47540"/>
  <c r="H919" i="47540"/>
  <c r="H956" i="47540"/>
  <c r="H999" i="47540"/>
  <c r="H1031" i="47540"/>
  <c r="H1060" i="47540"/>
  <c r="H1092" i="47540"/>
  <c r="H1120" i="47540"/>
  <c r="H1144" i="47540"/>
  <c r="H1176" i="47540"/>
  <c r="H1204" i="47540"/>
  <c r="H1232" i="47540"/>
  <c r="H1264" i="47540"/>
  <c r="H1288" i="47540"/>
  <c r="H84" i="47540"/>
  <c r="H169" i="47540"/>
  <c r="H244" i="47540"/>
  <c r="H308" i="47540"/>
  <c r="H393" i="47540"/>
  <c r="H468" i="47540"/>
  <c r="H543" i="47540"/>
  <c r="H628" i="47540"/>
  <c r="H685" i="47540"/>
  <c r="H735" i="47540"/>
  <c r="H792" i="47540"/>
  <c r="H841" i="47540"/>
  <c r="H884" i="47540"/>
  <c r="H941" i="47540"/>
  <c r="H991" i="47540"/>
  <c r="H1039" i="47540"/>
  <c r="H1082" i="47540"/>
  <c r="H1114" i="47540"/>
  <c r="H1151" i="47540"/>
  <c r="H1194" i="47540"/>
  <c r="H1231" i="47540"/>
  <c r="H1263" i="47540"/>
  <c r="H93" i="47540"/>
  <c r="H168" i="47540"/>
  <c r="H243" i="47540"/>
  <c r="H328" i="47540"/>
  <c r="H392" i="47540"/>
  <c r="H467" i="47540"/>
  <c r="H552" i="47540"/>
  <c r="H627" i="47540"/>
  <c r="H683" i="47540"/>
  <c r="H740" i="47540"/>
  <c r="H789" i="47540"/>
  <c r="H840" i="47540"/>
  <c r="H896" i="47540"/>
  <c r="H939" i="47540"/>
  <c r="H989" i="47540"/>
  <c r="H1043" i="47540"/>
  <c r="H1081" i="47540"/>
  <c r="H1113" i="47540"/>
  <c r="H1155" i="47540"/>
  <c r="H1193" i="47540"/>
  <c r="H1230" i="47540"/>
  <c r="H1273" i="47540"/>
  <c r="H1301" i="47540"/>
  <c r="H1329" i="47540"/>
  <c r="H1361" i="47540"/>
  <c r="H1389" i="47540"/>
  <c r="H1413" i="47540"/>
  <c r="H1445" i="47540"/>
  <c r="H68" i="47540"/>
  <c r="H143" i="47540"/>
  <c r="H228" i="47540"/>
  <c r="H292" i="47540"/>
  <c r="H367" i="47540"/>
  <c r="H452" i="47540"/>
  <c r="H527" i="47540"/>
  <c r="H591" i="47540"/>
  <c r="H675" i="47540"/>
  <c r="H724" i="47540"/>
  <c r="H773" i="47540"/>
  <c r="H831" i="47540"/>
  <c r="H873" i="47540"/>
  <c r="H923" i="47540"/>
  <c r="H980" i="47540"/>
  <c r="H1029" i="47540"/>
  <c r="H1063" i="47540"/>
  <c r="H1106" i="47540"/>
  <c r="H1143" i="47540"/>
  <c r="H1181" i="47540"/>
  <c r="H1223" i="47540"/>
  <c r="H1255" i="47540"/>
  <c r="H1292" i="47540"/>
  <c r="H1324" i="47540"/>
  <c r="H1352" i="47540"/>
  <c r="H1376" i="47540"/>
  <c r="H1408" i="47540"/>
  <c r="H1436" i="47540"/>
  <c r="H35" i="47540"/>
  <c r="H120" i="47540"/>
  <c r="H184" i="47540"/>
  <c r="H259" i="47540"/>
  <c r="H344" i="47540"/>
  <c r="H419" i="47540"/>
  <c r="H483" i="47540"/>
  <c r="H568" i="47540"/>
  <c r="H643" i="47540"/>
  <c r="H701" i="47540"/>
  <c r="H757" i="47540"/>
  <c r="H800" i="47540"/>
  <c r="H851" i="47540"/>
  <c r="H907" i="47540"/>
  <c r="H957" i="47540"/>
  <c r="H1000" i="47540"/>
  <c r="H1174" i="47540"/>
  <c r="H1294" i="47540"/>
  <c r="H1350" i="47540"/>
  <c r="H1414" i="47540"/>
  <c r="H1041" i="47540"/>
  <c r="H1190" i="47540"/>
  <c r="H1307" i="47540"/>
  <c r="H1363" i="47540"/>
  <c r="H1411" i="47540"/>
  <c r="H1057" i="47540"/>
  <c r="H1206" i="47540"/>
  <c r="H1306" i="47540"/>
  <c r="H1370" i="47540"/>
  <c r="H1418" i="47540"/>
  <c r="H1073" i="47540"/>
  <c r="H1243" i="47540"/>
  <c r="H1319" i="47540"/>
  <c r="H1367" i="47540"/>
  <c r="H1431" i="47540"/>
  <c r="H30" i="47540"/>
  <c r="H110" i="47540"/>
  <c r="H186" i="47540"/>
  <c r="H262" i="47540"/>
  <c r="H334" i="47540"/>
  <c r="H414" i="47540"/>
  <c r="H486" i="47540"/>
  <c r="H566" i="47540"/>
  <c r="H646" i="47540"/>
  <c r="H714" i="47540"/>
  <c r="H778" i="47540"/>
  <c r="H834" i="47540"/>
  <c r="H890" i="47540"/>
  <c r="H946" i="47540"/>
  <c r="H1006" i="47540"/>
  <c r="H43" i="47540"/>
  <c r="H123" i="47540"/>
  <c r="H203" i="47540"/>
  <c r="H272" i="47540"/>
  <c r="H352" i="47540"/>
  <c r="H427" i="47540"/>
  <c r="H501" i="47540"/>
  <c r="H576" i="47540"/>
  <c r="H656" i="47540"/>
  <c r="H71" i="47540"/>
  <c r="H151" i="47540"/>
  <c r="H231" i="47540"/>
  <c r="H300" i="47540"/>
  <c r="H380" i="47540"/>
  <c r="H455" i="47540"/>
  <c r="H529" i="47540"/>
  <c r="H604" i="47540"/>
  <c r="H684" i="47540"/>
  <c r="H748" i="47540"/>
  <c r="H796" i="47540"/>
  <c r="H855" i="47540"/>
  <c r="H897" i="47540"/>
  <c r="H945" i="47540"/>
  <c r="H1004" i="47540"/>
  <c r="H1048" i="47540"/>
  <c r="H1080" i="47540"/>
  <c r="H1124" i="47540"/>
  <c r="H1160" i="47540"/>
  <c r="H1200" i="47540"/>
  <c r="H1240" i="47540"/>
  <c r="H1272" i="47540"/>
  <c r="H73" i="47540"/>
  <c r="H180" i="47540"/>
  <c r="H287" i="47540"/>
  <c r="H372" i="47540"/>
  <c r="H479" i="47540"/>
  <c r="H585" i="47540"/>
  <c r="H677" i="47540"/>
  <c r="H756" i="47540"/>
  <c r="H813" i="47540"/>
  <c r="H877" i="47540"/>
  <c r="H955" i="47540"/>
  <c r="H1019" i="47540"/>
  <c r="H1066" i="47540"/>
  <c r="H1125" i="47540"/>
  <c r="H1173" i="47540"/>
  <c r="H1221" i="47540"/>
  <c r="H40" i="47540"/>
  <c r="H125" i="47540"/>
  <c r="H221" i="47540"/>
  <c r="H339" i="47540"/>
  <c r="H435" i="47540"/>
  <c r="H520" i="47540"/>
  <c r="H637" i="47540"/>
  <c r="H712" i="47540"/>
  <c r="H783" i="47540"/>
  <c r="H853" i="47540"/>
  <c r="H911" i="47540"/>
  <c r="H981" i="47540"/>
  <c r="H1049" i="47540"/>
  <c r="H1102" i="47540"/>
  <c r="H1145" i="47540"/>
  <c r="H1198" i="47540"/>
  <c r="H1251" i="47540"/>
  <c r="H1297" i="47540"/>
  <c r="H1341" i="47540"/>
  <c r="H1373" i="47540"/>
  <c r="H1409" i="47540"/>
  <c r="H15" i="47540"/>
  <c r="H111" i="47540"/>
  <c r="H196" i="47540"/>
  <c r="H313" i="47540"/>
  <c r="H409" i="47540"/>
  <c r="H505" i="47540"/>
  <c r="H623" i="47540"/>
  <c r="H696" i="47540"/>
  <c r="H760" i="47540"/>
  <c r="H837" i="47540"/>
  <c r="H901" i="47540"/>
  <c r="H959" i="47540"/>
  <c r="H1037" i="47540"/>
  <c r="H1085" i="47540"/>
  <c r="H1138" i="47540"/>
  <c r="H1191" i="47540"/>
  <c r="H1234" i="47540"/>
  <c r="H1287" i="47540"/>
  <c r="H1328" i="47540"/>
  <c r="H1368" i="47540"/>
  <c r="H1400" i="47540"/>
  <c r="H1440" i="47540"/>
  <c r="H77" i="47540"/>
  <c r="H173" i="47540"/>
  <c r="H291" i="47540"/>
  <c r="H376" i="47540"/>
  <c r="H472" i="47540"/>
  <c r="H589" i="47540"/>
  <c r="H680" i="47540"/>
  <c r="H736" i="47540"/>
  <c r="H815" i="47540"/>
  <c r="H879" i="47540"/>
  <c r="H943" i="47540"/>
  <c r="H1067" i="47540"/>
  <c r="H1238" i="47540"/>
  <c r="H1334" i="47540"/>
  <c r="H1422" i="47540"/>
  <c r="H1126" i="47540"/>
  <c r="H1281" i="47540"/>
  <c r="H1371" i="47540"/>
  <c r="H1443" i="47540"/>
  <c r="H1185" i="47540"/>
  <c r="H1322" i="47540"/>
  <c r="H1386" i="47540"/>
  <c r="H1051" i="47540"/>
  <c r="H1265" i="47540"/>
  <c r="H1351" i="47540"/>
  <c r="H1415" i="47540"/>
  <c r="H74" i="47540"/>
  <c r="H142" i="47540"/>
  <c r="H222" i="47540"/>
  <c r="H302" i="47540"/>
  <c r="H374" i="47540"/>
  <c r="H454" i="47540"/>
  <c r="H526" i="47540"/>
  <c r="H602" i="47540"/>
  <c r="H678" i="47540"/>
  <c r="H750" i="47540"/>
  <c r="H802" i="47540"/>
  <c r="H862" i="47540"/>
  <c r="H922" i="47540"/>
  <c r="H974" i="47540"/>
  <c r="H1034" i="47540"/>
  <c r="H85" i="47540"/>
  <c r="H160" i="47540"/>
  <c r="H235" i="47540"/>
  <c r="H315" i="47540"/>
  <c r="H384" i="47540"/>
  <c r="H464" i="47540"/>
  <c r="H544" i="47540"/>
  <c r="H613" i="47540"/>
  <c r="H39" i="47540"/>
  <c r="H113" i="47540"/>
  <c r="H188" i="47540"/>
  <c r="H263" i="47540"/>
  <c r="H343" i="47540"/>
  <c r="H412" i="47540"/>
  <c r="H492" i="47540"/>
  <c r="H572" i="47540"/>
  <c r="H641" i="47540"/>
  <c r="H721" i="47540"/>
  <c r="H775" i="47540"/>
  <c r="H828" i="47540"/>
  <c r="H871" i="47540"/>
  <c r="H924" i="47540"/>
  <c r="H977" i="47540"/>
  <c r="H1025" i="47540"/>
  <c r="H1072" i="47540"/>
  <c r="H1104" i="47540"/>
  <c r="H1140" i="47540"/>
  <c r="H1184" i="47540"/>
  <c r="H1220" i="47540"/>
  <c r="H1252" i="47540"/>
  <c r="H31" i="47540"/>
  <c r="H127" i="47540"/>
  <c r="H223" i="47540"/>
  <c r="H340" i="47540"/>
  <c r="H425" i="47540"/>
  <c r="H521" i="47540"/>
  <c r="H639" i="47540"/>
  <c r="H713" i="47540"/>
  <c r="H771" i="47540"/>
  <c r="H848" i="47540"/>
  <c r="H912" i="47540"/>
  <c r="H984" i="47540"/>
  <c r="H1050" i="47540"/>
  <c r="H1093" i="47540"/>
  <c r="H1146" i="47540"/>
  <c r="H1199" i="47540"/>
  <c r="H1253" i="47540"/>
  <c r="H72" i="47540"/>
  <c r="H179" i="47540"/>
  <c r="H285" i="47540"/>
  <c r="H381" i="47540"/>
  <c r="H499" i="47540"/>
  <c r="H584" i="47540"/>
  <c r="H676" i="47540"/>
  <c r="H755" i="47540"/>
  <c r="H819" i="47540"/>
  <c r="H875" i="47540"/>
  <c r="H953" i="47540"/>
  <c r="H1017" i="47540"/>
  <c r="H1070" i="47540"/>
  <c r="H1129" i="47540"/>
  <c r="H1171" i="47540"/>
  <c r="H1219" i="47540"/>
  <c r="H1278" i="47540"/>
  <c r="H1317" i="47540"/>
  <c r="H1349" i="47540"/>
  <c r="H1393" i="47540"/>
  <c r="H1429" i="47540"/>
  <c r="H57" i="47540"/>
  <c r="H164" i="47540"/>
  <c r="H249" i="47540"/>
  <c r="H356" i="47540"/>
  <c r="H463" i="47540"/>
  <c r="H569" i="47540"/>
  <c r="H655" i="47540"/>
  <c r="H731" i="47540"/>
  <c r="H803" i="47540"/>
  <c r="H867" i="47540"/>
  <c r="H944" i="47540"/>
  <c r="H1001" i="47540"/>
  <c r="H1058" i="47540"/>
  <c r="H1117" i="47540"/>
  <c r="H1165" i="47540"/>
  <c r="H1207" i="47540"/>
  <c r="H1266" i="47540"/>
  <c r="H1308" i="47540"/>
  <c r="H1344" i="47540"/>
  <c r="H1388" i="47540"/>
  <c r="H1420" i="47540"/>
  <c r="H13" i="47540"/>
  <c r="H131" i="47540"/>
  <c r="H227" i="47540"/>
  <c r="H312" i="47540"/>
  <c r="H429" i="47540"/>
  <c r="H525" i="47540"/>
  <c r="H632" i="47540"/>
  <c r="H715" i="47540"/>
  <c r="H772" i="47540"/>
  <c r="H843" i="47540"/>
  <c r="H915" i="47540"/>
  <c r="H985" i="47540"/>
  <c r="H1131" i="47540"/>
  <c r="H1302" i="47540"/>
  <c r="H1382" i="47540"/>
  <c r="H1013" i="47540"/>
  <c r="H1254" i="47540"/>
  <c r="H1331" i="47540"/>
  <c r="H1403" i="47540"/>
  <c r="H1099" i="47540"/>
  <c r="H1279" i="47540"/>
  <c r="H1346" i="47540"/>
  <c r="H1434" i="47540"/>
  <c r="H1158" i="47540"/>
  <c r="H1303" i="47540"/>
  <c r="H1391" i="47540"/>
  <c r="H54" i="47540"/>
  <c r="H202" i="47540"/>
  <c r="H358" i="47540"/>
  <c r="H506" i="47540"/>
  <c r="H654" i="47540"/>
  <c r="H794" i="47540"/>
  <c r="H906" i="47540"/>
  <c r="H1018" i="47540"/>
  <c r="H144" i="47540"/>
  <c r="H293" i="47540"/>
  <c r="H443" i="47540"/>
  <c r="H597" i="47540"/>
  <c r="H92" i="47540"/>
  <c r="H241" i="47540"/>
  <c r="H401" i="47540"/>
  <c r="H551" i="47540"/>
  <c r="H700" i="47540"/>
  <c r="H812" i="47540"/>
  <c r="H913" i="47540"/>
  <c r="H1009" i="47540"/>
  <c r="H1096" i="47540"/>
  <c r="H1168" i="47540"/>
  <c r="H1248" i="47540"/>
  <c r="H116" i="47540"/>
  <c r="H297" i="47540"/>
  <c r="H511" i="47540"/>
  <c r="H699" i="47540"/>
  <c r="H827" i="47540"/>
  <c r="H963" i="47540"/>
  <c r="H1087" i="47540"/>
  <c r="H1178" i="47540"/>
  <c r="H51" i="47540"/>
  <c r="H264" i="47540"/>
  <c r="H456" i="47540"/>
  <c r="H669" i="47540"/>
  <c r="H797" i="47540"/>
  <c r="H932" i="47540"/>
  <c r="H1059" i="47540"/>
  <c r="H1166" i="47540"/>
  <c r="H1257" i="47540"/>
  <c r="H1345" i="47540"/>
  <c r="H1425" i="47540"/>
  <c r="H121" i="47540"/>
  <c r="H335" i="47540"/>
  <c r="H537" i="47540"/>
  <c r="H717" i="47540"/>
  <c r="H845" i="47540"/>
  <c r="H987" i="47540"/>
  <c r="H1095" i="47540"/>
  <c r="H1202" i="47540"/>
  <c r="H1304" i="47540"/>
  <c r="H1372" i="47540"/>
  <c r="H1452" i="47540"/>
  <c r="H205" i="47540"/>
  <c r="H397" i="47540"/>
  <c r="H600" i="47540"/>
  <c r="H765" i="47540"/>
  <c r="H885" i="47540"/>
  <c r="H1089" i="47540"/>
  <c r="H1366" i="47540"/>
  <c r="H1169" i="47540"/>
  <c r="H1395" i="47540"/>
  <c r="H1227" i="47540"/>
  <c r="H1410" i="47540"/>
  <c r="H1286" i="47540"/>
  <c r="H1447" i="47540"/>
  <c r="H134" i="47540"/>
  <c r="H282" i="47540"/>
  <c r="H430" i="47540"/>
  <c r="H586" i="47540"/>
  <c r="H734" i="47540"/>
  <c r="H846" i="47540"/>
  <c r="H962" i="47540"/>
  <c r="H64" i="47540"/>
  <c r="H213" i="47540"/>
  <c r="H373" i="47540"/>
  <c r="H523" i="47540"/>
  <c r="H17" i="47540"/>
  <c r="H172" i="47540"/>
  <c r="H321" i="47540"/>
  <c r="H471" i="47540"/>
  <c r="H625" i="47540"/>
  <c r="H753" i="47540"/>
  <c r="H860" i="47540"/>
  <c r="H967" i="47540"/>
  <c r="H1056" i="47540"/>
  <c r="H1136" i="47540"/>
  <c r="H1208" i="47540"/>
  <c r="H1284" i="47540"/>
  <c r="H201" i="47540"/>
  <c r="H415" i="47540"/>
  <c r="H596" i="47540"/>
  <c r="H763" i="47540"/>
  <c r="H905" i="47540"/>
  <c r="H1027" i="47540"/>
  <c r="H1135" i="47540"/>
  <c r="H1237" i="47540"/>
  <c r="H157" i="47540"/>
  <c r="H349" i="47540"/>
  <c r="H563" i="47540"/>
  <c r="H725" i="47540"/>
  <c r="H868" i="47540"/>
  <c r="H1011" i="47540"/>
  <c r="H1107" i="47540"/>
  <c r="H1214" i="47540"/>
  <c r="H1309" i="47540"/>
  <c r="H1381" i="47540"/>
  <c r="H25" i="47540"/>
  <c r="H239" i="47540"/>
  <c r="H420" i="47540"/>
  <c r="H633" i="47540"/>
  <c r="H788" i="47540"/>
  <c r="H916" i="47540"/>
  <c r="H1053" i="47540"/>
  <c r="H1149" i="47540"/>
  <c r="H1250" i="47540"/>
  <c r="H1336" i="47540"/>
  <c r="H1416" i="47540"/>
  <c r="H88" i="47540"/>
  <c r="H301" i="47540"/>
  <c r="H515" i="47540"/>
  <c r="H687" i="47540"/>
  <c r="H829" i="47540"/>
  <c r="H964" i="47540"/>
  <c r="H1285" i="47540"/>
  <c r="H1430" i="47540"/>
  <c r="H1315" i="47540"/>
  <c r="H1007" i="47540"/>
  <c r="H1338" i="47540"/>
  <c r="H1137" i="47540"/>
  <c r="H1359" i="47540"/>
  <c r="H90" i="47540"/>
  <c r="H394" i="47540"/>
  <c r="H698" i="47540"/>
  <c r="H930" i="47540"/>
  <c r="H181" i="47540"/>
  <c r="H485" i="47540"/>
  <c r="H129" i="47540"/>
  <c r="H433" i="47540"/>
  <c r="H743" i="47540"/>
  <c r="H940" i="47540"/>
  <c r="H1112" i="47540"/>
  <c r="H1268" i="47540"/>
  <c r="H351" i="47540"/>
  <c r="H728" i="47540"/>
  <c r="H997" i="47540"/>
  <c r="H1210" i="47540"/>
  <c r="H296" i="47540"/>
  <c r="H704" i="47540"/>
  <c r="H968" i="47540"/>
  <c r="H1187" i="47540"/>
  <c r="H1365" i="47540"/>
  <c r="H185" i="47540"/>
  <c r="H580" i="47540"/>
  <c r="H888" i="47540"/>
  <c r="H1122" i="47540"/>
  <c r="H1312" i="47540"/>
  <c r="H56" i="47540"/>
  <c r="H461" i="47540"/>
  <c r="H793" i="47540"/>
  <c r="H1217" i="47540"/>
  <c r="H1270" i="47540"/>
  <c r="H1290" i="47540"/>
  <c r="H1327" i="47540"/>
  <c r="H166" i="47540"/>
  <c r="H474" i="47540"/>
  <c r="H762" i="47540"/>
  <c r="H990" i="47540"/>
  <c r="H256" i="47540"/>
  <c r="H555" i="47540"/>
  <c r="H209" i="47540"/>
  <c r="H513" i="47540"/>
  <c r="H785" i="47540"/>
  <c r="H983" i="47540"/>
  <c r="H1156" i="47540"/>
  <c r="H52" i="47540"/>
  <c r="H457" i="47540"/>
  <c r="H799" i="47540"/>
  <c r="H1061" i="47540"/>
  <c r="H1258" i="47540"/>
  <c r="H413" i="47540"/>
  <c r="H761" i="47540"/>
  <c r="H1024" i="47540"/>
  <c r="H1241" i="47540"/>
  <c r="H1405" i="47540"/>
  <c r="H281" i="47540"/>
  <c r="H688" i="47540"/>
  <c r="H952" i="47540"/>
  <c r="H1170" i="47540"/>
  <c r="H1356" i="47540"/>
  <c r="H141" i="47540"/>
  <c r="H547" i="47540"/>
  <c r="H872" i="47540"/>
  <c r="H1326" i="47540"/>
  <c r="H1347" i="47540"/>
  <c r="H1378" i="47540"/>
  <c r="H1399" i="47540"/>
  <c r="H246" i="47540"/>
  <c r="H542" i="47540"/>
  <c r="H818" i="47540"/>
  <c r="H32" i="47540"/>
  <c r="H331" i="47540"/>
  <c r="H635" i="47540"/>
  <c r="H284" i="47540"/>
  <c r="H583" i="47540"/>
  <c r="H833" i="47540"/>
  <c r="H1040" i="47540"/>
  <c r="H1188" i="47540"/>
  <c r="H137" i="47540"/>
  <c r="H564" i="47540"/>
  <c r="H869" i="47540"/>
  <c r="H1109" i="47540"/>
  <c r="H115" i="47540"/>
  <c r="H509" i="47540"/>
  <c r="H825" i="47540"/>
  <c r="H1086" i="47540"/>
  <c r="H1283" i="47540"/>
  <c r="H1437" i="47540"/>
  <c r="H399" i="47540"/>
  <c r="H752" i="47540"/>
  <c r="H1016" i="47540"/>
  <c r="H1229" i="47540"/>
  <c r="H1392" i="47540"/>
  <c r="H248" i="47540"/>
  <c r="H653" i="47540"/>
  <c r="H928" i="47540"/>
  <c r="H1390" i="47540"/>
  <c r="H1435" i="47540"/>
  <c r="H1450" i="47540"/>
  <c r="H14" i="47540"/>
  <c r="H314" i="47540"/>
  <c r="H622" i="47540"/>
  <c r="H878" i="47540"/>
  <c r="H101" i="47540"/>
  <c r="H405" i="47540"/>
  <c r="H60" i="47540"/>
  <c r="H359" i="47540"/>
  <c r="H663" i="47540"/>
  <c r="H892" i="47540"/>
  <c r="H1076" i="47540"/>
  <c r="H1224" i="47540"/>
  <c r="H255" i="47540"/>
  <c r="H649" i="47540"/>
  <c r="H927" i="47540"/>
  <c r="H1167" i="47540"/>
  <c r="H211" i="47540"/>
  <c r="H605" i="47540"/>
  <c r="H904" i="47540"/>
  <c r="H1134" i="47540"/>
  <c r="H1325" i="47540"/>
  <c r="H79" i="47540"/>
  <c r="H484" i="47540"/>
  <c r="H809" i="47540"/>
  <c r="H1079" i="47540"/>
  <c r="H1277" i="47540"/>
  <c r="H1432" i="47540"/>
  <c r="H355" i="47540"/>
  <c r="H729" i="47540"/>
  <c r="H992" i="47540"/>
  <c r="H1083" i="47540"/>
  <c r="H1121" i="47540"/>
  <c r="H1179" i="47540"/>
  <c r="G23" i="47540"/>
  <c r="G39" i="47540"/>
  <c r="G55" i="47540"/>
  <c r="G71" i="47540"/>
  <c r="G87" i="47540"/>
  <c r="G103" i="47540"/>
  <c r="G119" i="47540"/>
  <c r="G135" i="47540"/>
  <c r="G151" i="47540"/>
  <c r="G167" i="47540"/>
  <c r="G183" i="47540"/>
  <c r="G199" i="47540"/>
  <c r="G215" i="47540"/>
  <c r="G231" i="47540"/>
  <c r="G247" i="47540"/>
  <c r="G263" i="47540"/>
  <c r="G279" i="47540"/>
  <c r="G295" i="47540"/>
  <c r="G311" i="47540"/>
  <c r="G327" i="47540"/>
  <c r="G343" i="47540"/>
  <c r="G359" i="47540"/>
  <c r="G375" i="47540"/>
  <c r="G391" i="47540"/>
  <c r="G407" i="47540"/>
  <c r="G423" i="47540"/>
  <c r="G439" i="47540"/>
  <c r="G455" i="47540"/>
  <c r="G471" i="47540"/>
  <c r="G487" i="47540"/>
  <c r="G503" i="47540"/>
  <c r="G519" i="47540"/>
  <c r="G535" i="47540"/>
  <c r="G551" i="47540"/>
  <c r="G567" i="47540"/>
  <c r="G583" i="47540"/>
  <c r="G599" i="47540"/>
  <c r="G615" i="47540"/>
  <c r="G631" i="47540"/>
  <c r="G647" i="47540"/>
  <c r="G663" i="47540"/>
  <c r="G679" i="47540"/>
  <c r="G695" i="47540"/>
  <c r="G711" i="47540"/>
  <c r="G727" i="47540"/>
  <c r="G743" i="47540"/>
  <c r="G759" i="47540"/>
  <c r="G775" i="47540"/>
  <c r="G791" i="47540"/>
  <c r="G807" i="47540"/>
  <c r="G823" i="47540"/>
  <c r="G839" i="47540"/>
  <c r="G855" i="47540"/>
  <c r="G871" i="47540"/>
  <c r="G887" i="47540"/>
  <c r="G903" i="47540"/>
  <c r="G919" i="47540"/>
  <c r="G935" i="47540"/>
  <c r="G951" i="47540"/>
  <c r="G967" i="47540"/>
  <c r="G983" i="47540"/>
  <c r="G999" i="47540"/>
  <c r="G1015" i="47540"/>
  <c r="G1031" i="47540"/>
  <c r="G22" i="47540"/>
  <c r="G38" i="47540"/>
  <c r="G54" i="47540"/>
  <c r="G70" i="47540"/>
  <c r="G86" i="47540"/>
  <c r="G102" i="47540"/>
  <c r="G118" i="47540"/>
  <c r="G134" i="47540"/>
  <c r="G150" i="47540"/>
  <c r="G166" i="47540"/>
  <c r="G182" i="47540"/>
  <c r="G198" i="47540"/>
  <c r="G214" i="47540"/>
  <c r="G230" i="47540"/>
  <c r="G246" i="47540"/>
  <c r="G262" i="47540"/>
  <c r="G278" i="47540"/>
  <c r="G294" i="47540"/>
  <c r="G310" i="47540"/>
  <c r="G326" i="47540"/>
  <c r="G342" i="47540"/>
  <c r="G358" i="47540"/>
  <c r="G374" i="47540"/>
  <c r="G390" i="47540"/>
  <c r="G41" i="47540"/>
  <c r="G73" i="47540"/>
  <c r="G105" i="47540"/>
  <c r="G137" i="47540"/>
  <c r="G169" i="47540"/>
  <c r="G201" i="47540"/>
  <c r="G233" i="47540"/>
  <c r="G265" i="47540"/>
  <c r="G297" i="47540"/>
  <c r="G329" i="47540"/>
  <c r="G361" i="47540"/>
  <c r="G24" i="47540"/>
  <c r="G56" i="47540"/>
  <c r="G88" i="47540"/>
  <c r="G120" i="47540"/>
  <c r="G152" i="47540"/>
  <c r="G184" i="47540"/>
  <c r="G216" i="47540"/>
  <c r="G248" i="47540"/>
  <c r="G280" i="47540"/>
  <c r="G312" i="47540"/>
  <c r="G344" i="47540"/>
  <c r="G376" i="47540"/>
  <c r="G19" i="47540"/>
  <c r="G43" i="47540"/>
  <c r="G63" i="47540"/>
  <c r="G83" i="47540"/>
  <c r="G107" i="47540"/>
  <c r="G127" i="47540"/>
  <c r="G147" i="47540"/>
  <c r="G171" i="47540"/>
  <c r="G191" i="47540"/>
  <c r="G211" i="47540"/>
  <c r="G235" i="47540"/>
  <c r="G255" i="47540"/>
  <c r="G275" i="47540"/>
  <c r="G299" i="47540"/>
  <c r="G319" i="47540"/>
  <c r="G339" i="47540"/>
  <c r="G363" i="47540"/>
  <c r="G383" i="47540"/>
  <c r="G403" i="47540"/>
  <c r="G427" i="47540"/>
  <c r="G447" i="47540"/>
  <c r="G467" i="47540"/>
  <c r="G491" i="47540"/>
  <c r="G511" i="47540"/>
  <c r="G531" i="47540"/>
  <c r="G555" i="47540"/>
  <c r="G575" i="47540"/>
  <c r="G595" i="47540"/>
  <c r="G619" i="47540"/>
  <c r="G639" i="47540"/>
  <c r="G659" i="47540"/>
  <c r="G683" i="47540"/>
  <c r="G703" i="47540"/>
  <c r="G723" i="47540"/>
  <c r="G747" i="47540"/>
  <c r="G767" i="47540"/>
  <c r="G787" i="47540"/>
  <c r="G811" i="47540"/>
  <c r="G831" i="47540"/>
  <c r="G851" i="47540"/>
  <c r="G875" i="47540"/>
  <c r="G895" i="47540"/>
  <c r="G915" i="47540"/>
  <c r="G939" i="47540"/>
  <c r="G959" i="47540"/>
  <c r="G979" i="47540"/>
  <c r="G1003" i="47540"/>
  <c r="G1023" i="47540"/>
  <c r="G18" i="47540"/>
  <c r="G42" i="47540"/>
  <c r="G62" i="47540"/>
  <c r="G82" i="47540"/>
  <c r="G106" i="47540"/>
  <c r="G126" i="47540"/>
  <c r="G146" i="47540"/>
  <c r="G170" i="47540"/>
  <c r="G190" i="47540"/>
  <c r="G210" i="47540"/>
  <c r="G234" i="47540"/>
  <c r="G254" i="47540"/>
  <c r="G274" i="47540"/>
  <c r="G298" i="47540"/>
  <c r="G318" i="47540"/>
  <c r="G338" i="47540"/>
  <c r="G362" i="47540"/>
  <c r="G382" i="47540"/>
  <c r="G33" i="47540"/>
  <c r="G81" i="47540"/>
  <c r="G121" i="47540"/>
  <c r="G161" i="47540"/>
  <c r="G209" i="47540"/>
  <c r="G249" i="47540"/>
  <c r="G289" i="47540"/>
  <c r="G337" i="47540"/>
  <c r="G377" i="47540"/>
  <c r="G48" i="47540"/>
  <c r="G96" i="47540"/>
  <c r="G136" i="47540"/>
  <c r="G176" i="47540"/>
  <c r="G224" i="47540"/>
  <c r="G264" i="47540"/>
  <c r="G304" i="47540"/>
  <c r="G352" i="47540"/>
  <c r="G392" i="47540"/>
  <c r="G413" i="47540"/>
  <c r="G434" i="47540"/>
  <c r="G456" i="47540"/>
  <c r="G477" i="47540"/>
  <c r="G498" i="47540"/>
  <c r="G520" i="47540"/>
  <c r="G541" i="47540"/>
  <c r="G562" i="47540"/>
  <c r="G584" i="47540"/>
  <c r="G605" i="47540"/>
  <c r="G626" i="47540"/>
  <c r="G648" i="47540"/>
  <c r="G669" i="47540"/>
  <c r="G690" i="47540"/>
  <c r="G712" i="47540"/>
  <c r="G733" i="47540"/>
  <c r="G754" i="47540"/>
  <c r="G776" i="47540"/>
  <c r="G797" i="47540"/>
  <c r="G818" i="47540"/>
  <c r="G840" i="47540"/>
  <c r="G861" i="47540"/>
  <c r="G882" i="47540"/>
  <c r="G904" i="47540"/>
  <c r="G925" i="47540"/>
  <c r="G946" i="47540"/>
  <c r="G968" i="47540"/>
  <c r="G989" i="47540"/>
  <c r="G1010" i="47540"/>
  <c r="G1032" i="47540"/>
  <c r="G1049" i="47540"/>
  <c r="G1065" i="47540"/>
  <c r="G1081" i="47540"/>
  <c r="G1097" i="47540"/>
  <c r="G1113" i="47540"/>
  <c r="G1129" i="47540"/>
  <c r="G1145" i="47540"/>
  <c r="G1161" i="47540"/>
  <c r="G1177" i="47540"/>
  <c r="G1193" i="47540"/>
  <c r="G1209" i="47540"/>
  <c r="G1225" i="47540"/>
  <c r="G1241" i="47540"/>
  <c r="G1257" i="47540"/>
  <c r="G1273" i="47540"/>
  <c r="G1289" i="47540"/>
  <c r="G1305" i="47540"/>
  <c r="G1321" i="47540"/>
  <c r="G1337" i="47540"/>
  <c r="G1353" i="47540"/>
  <c r="G1369" i="47540"/>
  <c r="G1385" i="47540"/>
  <c r="G69" i="47540"/>
  <c r="G133" i="47540"/>
  <c r="G197" i="47540"/>
  <c r="G261" i="47540"/>
  <c r="G325" i="47540"/>
  <c r="G388" i="47540"/>
  <c r="G417" i="47540"/>
  <c r="G446" i="47540"/>
  <c r="G474" i="47540"/>
  <c r="G502" i="47540"/>
  <c r="G532" i="47540"/>
  <c r="G560" i="47540"/>
  <c r="G588" i="47540"/>
  <c r="G617" i="47540"/>
  <c r="G36" i="47540"/>
  <c r="G100" i="47540"/>
  <c r="G164" i="47540"/>
  <c r="G228" i="47540"/>
  <c r="G292" i="47540"/>
  <c r="G356" i="47540"/>
  <c r="G401" i="47540"/>
  <c r="G430" i="47540"/>
  <c r="G458" i="47540"/>
  <c r="G486" i="47540"/>
  <c r="G516" i="47540"/>
  <c r="G544" i="47540"/>
  <c r="G572" i="47540"/>
  <c r="G601" i="47540"/>
  <c r="G629" i="47540"/>
  <c r="G657" i="47540"/>
  <c r="G686" i="47540"/>
  <c r="G714" i="47540"/>
  <c r="G742" i="47540"/>
  <c r="G772" i="47540"/>
  <c r="G800" i="47540"/>
  <c r="G828" i="47540"/>
  <c r="G857" i="47540"/>
  <c r="G885" i="47540"/>
  <c r="G913" i="47540"/>
  <c r="G942" i="47540"/>
  <c r="G970" i="47540"/>
  <c r="G998" i="47540"/>
  <c r="G1028" i="47540"/>
  <c r="G1051" i="47540"/>
  <c r="G1072" i="47540"/>
  <c r="G1094" i="47540"/>
  <c r="G1115" i="47540"/>
  <c r="G1136" i="47540"/>
  <c r="G1158" i="47540"/>
  <c r="G1179" i="47540"/>
  <c r="G1200" i="47540"/>
  <c r="G1222" i="47540"/>
  <c r="G1243" i="47540"/>
  <c r="G1264" i="47540"/>
  <c r="G1286" i="47540"/>
  <c r="G1307" i="47540"/>
  <c r="G1328" i="47540"/>
  <c r="G1350" i="47540"/>
  <c r="G1371" i="47540"/>
  <c r="G1391" i="47540"/>
  <c r="G1407" i="47540"/>
  <c r="G1423" i="47540"/>
  <c r="G1439" i="47540"/>
  <c r="G13" i="47540"/>
  <c r="G77" i="47540"/>
  <c r="G141" i="47540"/>
  <c r="G205" i="47540"/>
  <c r="G269" i="47540"/>
  <c r="G333" i="47540"/>
  <c r="G393" i="47540"/>
  <c r="G421" i="47540"/>
  <c r="G449" i="47540"/>
  <c r="G478" i="47540"/>
  <c r="G506" i="47540"/>
  <c r="G534" i="47540"/>
  <c r="G564" i="47540"/>
  <c r="G592" i="47540"/>
  <c r="G620" i="47540"/>
  <c r="G649" i="47540"/>
  <c r="G677" i="47540"/>
  <c r="G705" i="47540"/>
  <c r="G734" i="47540"/>
  <c r="G762" i="47540"/>
  <c r="G790" i="47540"/>
  <c r="G820" i="47540"/>
  <c r="G848" i="47540"/>
  <c r="G876" i="47540"/>
  <c r="G905" i="47540"/>
  <c r="G933" i="47540"/>
  <c r="G961" i="47540"/>
  <c r="G990" i="47540"/>
  <c r="G1018" i="47540"/>
  <c r="G1044" i="47540"/>
  <c r="G1066" i="47540"/>
  <c r="G1087" i="47540"/>
  <c r="G1108" i="47540"/>
  <c r="G1130" i="47540"/>
  <c r="G1151" i="47540"/>
  <c r="G1172" i="47540"/>
  <c r="G1194" i="47540"/>
  <c r="G1215" i="47540"/>
  <c r="G1236" i="47540"/>
  <c r="G1258" i="47540"/>
  <c r="G1279" i="47540"/>
  <c r="G1300" i="47540"/>
  <c r="G1322" i="47540"/>
  <c r="G1343" i="47540"/>
  <c r="G1364" i="47540"/>
  <c r="G1386" i="47540"/>
  <c r="G1402" i="47540"/>
  <c r="G1418" i="47540"/>
  <c r="G1434" i="47540"/>
  <c r="G1450" i="47540"/>
  <c r="G76" i="47540"/>
  <c r="G140" i="47540"/>
  <c r="G204" i="47540"/>
  <c r="G268" i="47540"/>
  <c r="G332" i="47540"/>
  <c r="G389" i="47540"/>
  <c r="G420" i="47540"/>
  <c r="G448" i="47540"/>
  <c r="G476" i="47540"/>
  <c r="G505" i="47540"/>
  <c r="G533" i="47540"/>
  <c r="G561" i="47540"/>
  <c r="G590" i="47540"/>
  <c r="G618" i="47540"/>
  <c r="G646" i="47540"/>
  <c r="G676" i="47540"/>
  <c r="G704" i="47540"/>
  <c r="G732" i="47540"/>
  <c r="G761" i="47540"/>
  <c r="G789" i="47540"/>
  <c r="G817" i="47540"/>
  <c r="G846" i="47540"/>
  <c r="G874" i="47540"/>
  <c r="G902" i="47540"/>
  <c r="G932" i="47540"/>
  <c r="G960" i="47540"/>
  <c r="G988" i="47540"/>
  <c r="G1017" i="47540"/>
  <c r="G1043" i="47540"/>
  <c r="G1287" i="47540"/>
  <c r="G737" i="47540"/>
  <c r="G852" i="47540"/>
  <c r="G965" i="47540"/>
  <c r="G1059" i="47540"/>
  <c r="G1102" i="47540"/>
  <c r="G1144" i="47540"/>
  <c r="G1187" i="47540"/>
  <c r="G1230" i="47540"/>
  <c r="G1272" i="47540"/>
  <c r="G1315" i="47540"/>
  <c r="G1358" i="47540"/>
  <c r="G1397" i="47540"/>
  <c r="G1429" i="47540"/>
  <c r="G673" i="47540"/>
  <c r="G788" i="47540"/>
  <c r="G901" i="47540"/>
  <c r="G1014" i="47540"/>
  <c r="G1079" i="47540"/>
  <c r="G1122" i="47540"/>
  <c r="G1164" i="47540"/>
  <c r="G1207" i="47540"/>
  <c r="G1250" i="47540"/>
  <c r="G1292" i="47540"/>
  <c r="G1335" i="47540"/>
  <c r="G1378" i="47540"/>
  <c r="G1412" i="47540"/>
  <c r="G1444" i="47540"/>
  <c r="G694" i="47540"/>
  <c r="G809" i="47540"/>
  <c r="G922" i="47540"/>
  <c r="G1036" i="47540"/>
  <c r="G1086" i="47540"/>
  <c r="G1128" i="47540"/>
  <c r="G1171" i="47540"/>
  <c r="G1214" i="47540"/>
  <c r="G1256" i="47540"/>
  <c r="G1299" i="47540"/>
  <c r="G1342" i="47540"/>
  <c r="G1384" i="47540"/>
  <c r="G1417" i="47540"/>
  <c r="G1449" i="47540"/>
  <c r="G773" i="47540"/>
  <c r="G886" i="47540"/>
  <c r="G1001" i="47540"/>
  <c r="G1084" i="47540"/>
  <c r="G1127" i="47540"/>
  <c r="G1170" i="47540"/>
  <c r="G1212" i="47540"/>
  <c r="G1255" i="47540"/>
  <c r="G1308" i="47540"/>
  <c r="G1351" i="47540"/>
  <c r="G1392" i="47540"/>
  <c r="G1424" i="47540"/>
  <c r="G31" i="47540"/>
  <c r="G59" i="47540"/>
  <c r="G91" i="47540"/>
  <c r="G115" i="47540"/>
  <c r="G143" i="47540"/>
  <c r="G175" i="47540"/>
  <c r="G35" i="47540"/>
  <c r="G75" i="47540"/>
  <c r="G111" i="47540"/>
  <c r="G155" i="47540"/>
  <c r="G187" i="47540"/>
  <c r="G219" i="47540"/>
  <c r="G243" i="47540"/>
  <c r="G271" i="47540"/>
  <c r="G303" i="47540"/>
  <c r="G331" i="47540"/>
  <c r="G355" i="47540"/>
  <c r="G387" i="47540"/>
  <c r="G415" i="47540"/>
  <c r="G443" i="47540"/>
  <c r="G475" i="47540"/>
  <c r="G499" i="47540"/>
  <c r="G527" i="47540"/>
  <c r="G559" i="47540"/>
  <c r="G587" i="47540"/>
  <c r="G611" i="47540"/>
  <c r="G643" i="47540"/>
  <c r="G671" i="47540"/>
  <c r="G699" i="47540"/>
  <c r="G731" i="47540"/>
  <c r="G755" i="47540"/>
  <c r="G783" i="47540"/>
  <c r="G815" i="47540"/>
  <c r="G843" i="47540"/>
  <c r="G867" i="47540"/>
  <c r="G899" i="47540"/>
  <c r="G927" i="47540"/>
  <c r="G955" i="47540"/>
  <c r="G987" i="47540"/>
  <c r="G1011" i="47540"/>
  <c r="G14" i="47540"/>
  <c r="G46" i="47540"/>
  <c r="G74" i="47540"/>
  <c r="G98" i="47540"/>
  <c r="G130" i="47540"/>
  <c r="G158" i="47540"/>
  <c r="G186" i="47540"/>
  <c r="G218" i="47540"/>
  <c r="G242" i="47540"/>
  <c r="G270" i="47540"/>
  <c r="G302" i="47540"/>
  <c r="G330" i="47540"/>
  <c r="G354" i="47540"/>
  <c r="G386" i="47540"/>
  <c r="G57" i="47540"/>
  <c r="G113" i="47540"/>
  <c r="G177" i="47540"/>
  <c r="G225" i="47540"/>
  <c r="G281" i="47540"/>
  <c r="G345" i="47540"/>
  <c r="G32" i="47540"/>
  <c r="G80" i="47540"/>
  <c r="G144" i="47540"/>
  <c r="G200" i="47540"/>
  <c r="G256" i="47540"/>
  <c r="G320" i="47540"/>
  <c r="G368" i="47540"/>
  <c r="G408" i="47540"/>
  <c r="G440" i="47540"/>
  <c r="G466" i="47540"/>
  <c r="G493" i="47540"/>
  <c r="G525" i="47540"/>
  <c r="G552" i="47540"/>
  <c r="G578" i="47540"/>
  <c r="G610" i="47540"/>
  <c r="G637" i="47540"/>
  <c r="G664" i="47540"/>
  <c r="G696" i="47540"/>
  <c r="G722" i="47540"/>
  <c r="G749" i="47540"/>
  <c r="G781" i="47540"/>
  <c r="G808" i="47540"/>
  <c r="G834" i="47540"/>
  <c r="G866" i="47540"/>
  <c r="G893" i="47540"/>
  <c r="G920" i="47540"/>
  <c r="G952" i="47540"/>
  <c r="G978" i="47540"/>
  <c r="G1005" i="47540"/>
  <c r="G1037" i="47540"/>
  <c r="G1057" i="47540"/>
  <c r="G1077" i="47540"/>
  <c r="G1101" i="47540"/>
  <c r="G1121" i="47540"/>
  <c r="G1141" i="47540"/>
  <c r="G1165" i="47540"/>
  <c r="G1185" i="47540"/>
  <c r="G1205" i="47540"/>
  <c r="G1229" i="47540"/>
  <c r="G1249" i="47540"/>
  <c r="G1269" i="47540"/>
  <c r="G1293" i="47540"/>
  <c r="G1313" i="47540"/>
  <c r="G1333" i="47540"/>
  <c r="G1357" i="47540"/>
  <c r="G1377" i="47540"/>
  <c r="G53" i="47540"/>
  <c r="G149" i="47540"/>
  <c r="G229" i="47540"/>
  <c r="G309" i="47540"/>
  <c r="G396" i="47540"/>
  <c r="G432" i="47540"/>
  <c r="G468" i="47540"/>
  <c r="G510" i="47540"/>
  <c r="G545" i="47540"/>
  <c r="G581" i="47540"/>
  <c r="G624" i="47540"/>
  <c r="G68" i="47540"/>
  <c r="G148" i="47540"/>
  <c r="G244" i="47540"/>
  <c r="G324" i="47540"/>
  <c r="G394" i="47540"/>
  <c r="G437" i="47540"/>
  <c r="G473" i="47540"/>
  <c r="G508" i="47540"/>
  <c r="G550" i="47540"/>
  <c r="G586" i="47540"/>
  <c r="G622" i="47540"/>
  <c r="G665" i="47540"/>
  <c r="G700" i="47540"/>
  <c r="G736" i="47540"/>
  <c r="G778" i="47540"/>
  <c r="G814" i="47540"/>
  <c r="G849" i="47540"/>
  <c r="G892" i="47540"/>
  <c r="G928" i="47540"/>
  <c r="G964" i="47540"/>
  <c r="G1006" i="47540"/>
  <c r="G1040" i="47540"/>
  <c r="G1067" i="47540"/>
  <c r="G1099" i="47540"/>
  <c r="G1126" i="47540"/>
  <c r="G1152" i="47540"/>
  <c r="G1184" i="47540"/>
  <c r="G1211" i="47540"/>
  <c r="G1238" i="47540"/>
  <c r="G1270" i="47540"/>
  <c r="G1296" i="47540"/>
  <c r="G1323" i="47540"/>
  <c r="G1355" i="47540"/>
  <c r="G1382" i="47540"/>
  <c r="G1403" i="47540"/>
  <c r="G1427" i="47540"/>
  <c r="G1447" i="47540"/>
  <c r="G61" i="47540"/>
  <c r="G157" i="47540"/>
  <c r="G237" i="47540"/>
  <c r="G317" i="47540"/>
  <c r="G400" i="47540"/>
  <c r="G436" i="47540"/>
  <c r="G470" i="47540"/>
  <c r="G513" i="47540"/>
  <c r="G549" i="47540"/>
  <c r="G585" i="47540"/>
  <c r="G15" i="47540"/>
  <c r="G51" i="47540"/>
  <c r="G95" i="47540"/>
  <c r="G131" i="47540"/>
  <c r="G163" i="47540"/>
  <c r="G203" i="47540"/>
  <c r="G227" i="47540"/>
  <c r="G259" i="47540"/>
  <c r="G287" i="47540"/>
  <c r="G315" i="47540"/>
  <c r="G347" i="47540"/>
  <c r="G371" i="47540"/>
  <c r="G399" i="47540"/>
  <c r="G431" i="47540"/>
  <c r="G459" i="47540"/>
  <c r="G483" i="47540"/>
  <c r="G515" i="47540"/>
  <c r="G543" i="47540"/>
  <c r="G571" i="47540"/>
  <c r="G603" i="47540"/>
  <c r="G627" i="47540"/>
  <c r="G655" i="47540"/>
  <c r="G687" i="47540"/>
  <c r="G715" i="47540"/>
  <c r="G739" i="47540"/>
  <c r="G771" i="47540"/>
  <c r="G799" i="47540"/>
  <c r="G827" i="47540"/>
  <c r="G859" i="47540"/>
  <c r="G883" i="47540"/>
  <c r="G911" i="47540"/>
  <c r="G943" i="47540"/>
  <c r="G971" i="47540"/>
  <c r="G995" i="47540"/>
  <c r="G1027" i="47540"/>
  <c r="G30" i="47540"/>
  <c r="G58" i="47540"/>
  <c r="G90" i="47540"/>
  <c r="G114" i="47540"/>
  <c r="G142" i="47540"/>
  <c r="G174" i="47540"/>
  <c r="G202" i="47540"/>
  <c r="G226" i="47540"/>
  <c r="G258" i="47540"/>
  <c r="G286" i="47540"/>
  <c r="G314" i="47540"/>
  <c r="G346" i="47540"/>
  <c r="G370" i="47540"/>
  <c r="G25" i="47540"/>
  <c r="G89" i="47540"/>
  <c r="G145" i="47540"/>
  <c r="G193" i="47540"/>
  <c r="G257" i="47540"/>
  <c r="G313" i="47540"/>
  <c r="G369" i="47540"/>
  <c r="G64" i="47540"/>
  <c r="G112" i="47540"/>
  <c r="G168" i="47540"/>
  <c r="G232" i="47540"/>
  <c r="G288" i="47540"/>
  <c r="G336" i="47540"/>
  <c r="G397" i="47540"/>
  <c r="G424" i="47540"/>
  <c r="G450" i="47540"/>
  <c r="G482" i="47540"/>
  <c r="G509" i="47540"/>
  <c r="G536" i="47540"/>
  <c r="G568" i="47540"/>
  <c r="G594" i="47540"/>
  <c r="G621" i="47540"/>
  <c r="G653" i="47540"/>
  <c r="G680" i="47540"/>
  <c r="G706" i="47540"/>
  <c r="G738" i="47540"/>
  <c r="G765" i="47540"/>
  <c r="G792" i="47540"/>
  <c r="G824" i="47540"/>
  <c r="G850" i="47540"/>
  <c r="G877" i="47540"/>
  <c r="G909" i="47540"/>
  <c r="G936" i="47540"/>
  <c r="G962" i="47540"/>
  <c r="G994" i="47540"/>
  <c r="G1021" i="47540"/>
  <c r="G1045" i="47540"/>
  <c r="G1069" i="47540"/>
  <c r="G1089" i="47540"/>
  <c r="G1109" i="47540"/>
  <c r="G1133" i="47540"/>
  <c r="G1153" i="47540"/>
  <c r="G1173" i="47540"/>
  <c r="G1197" i="47540"/>
  <c r="G1217" i="47540"/>
  <c r="G1237" i="47540"/>
  <c r="G1261" i="47540"/>
  <c r="G1281" i="47540"/>
  <c r="G1301" i="47540"/>
  <c r="G1325" i="47540"/>
  <c r="G1345" i="47540"/>
  <c r="G1365" i="47540"/>
  <c r="G21" i="47540"/>
  <c r="G101" i="47540"/>
  <c r="G181" i="47540"/>
  <c r="G277" i="47540"/>
  <c r="G357" i="47540"/>
  <c r="G410" i="47540"/>
  <c r="G453" i="47540"/>
  <c r="G489" i="47540"/>
  <c r="G524" i="47540"/>
  <c r="G566" i="47540"/>
  <c r="G602" i="47540"/>
  <c r="G20" i="47540"/>
  <c r="G116" i="47540"/>
  <c r="G196" i="47540"/>
  <c r="G276" i="47540"/>
  <c r="G372" i="47540"/>
  <c r="G416" i="47540"/>
  <c r="G452" i="47540"/>
  <c r="G494" i="47540"/>
  <c r="G529" i="47540"/>
  <c r="G565" i="47540"/>
  <c r="G608" i="47540"/>
  <c r="G644" i="47540"/>
  <c r="G678" i="47540"/>
  <c r="G721" i="47540"/>
  <c r="G757" i="47540"/>
  <c r="G793" i="47540"/>
  <c r="G836" i="47540"/>
  <c r="G870" i="47540"/>
  <c r="G906" i="47540"/>
  <c r="G949" i="47540"/>
  <c r="G985" i="47540"/>
  <c r="G1020" i="47540"/>
  <c r="G1056" i="47540"/>
  <c r="G1083" i="47540"/>
  <c r="G1110" i="47540"/>
  <c r="G1142" i="47540"/>
  <c r="G1168" i="47540"/>
  <c r="G1195" i="47540"/>
  <c r="G1227" i="47540"/>
  <c r="G1254" i="47540"/>
  <c r="G1280" i="47540"/>
  <c r="G1312" i="47540"/>
  <c r="G1339" i="47540"/>
  <c r="G1366" i="47540"/>
  <c r="G1395" i="47540"/>
  <c r="G1415" i="47540"/>
  <c r="G1435" i="47540"/>
  <c r="G29" i="47540"/>
  <c r="G109" i="47540"/>
  <c r="G189" i="47540"/>
  <c r="G285" i="47540"/>
  <c r="G365" i="47540"/>
  <c r="G414" i="47540"/>
  <c r="G457" i="47540"/>
  <c r="G492" i="47540"/>
  <c r="G528" i="47540"/>
  <c r="G570" i="47540"/>
  <c r="G606" i="47540"/>
  <c r="G641" i="47540"/>
  <c r="G684" i="47540"/>
  <c r="G720" i="47540"/>
  <c r="G756" i="47540"/>
  <c r="G798" i="47540"/>
  <c r="G833" i="47540"/>
  <c r="G869" i="47540"/>
  <c r="G912" i="47540"/>
  <c r="G948" i="47540"/>
  <c r="G982" i="47540"/>
  <c r="G1025" i="47540"/>
  <c r="G1055" i="47540"/>
  <c r="G1082" i="47540"/>
  <c r="G1114" i="47540"/>
  <c r="G1140" i="47540"/>
  <c r="G1167" i="47540"/>
  <c r="G1199" i="47540"/>
  <c r="G1226" i="47540"/>
  <c r="G1252" i="47540"/>
  <c r="G1284" i="47540"/>
  <c r="G1311" i="47540"/>
  <c r="G1338" i="47540"/>
  <c r="G1370" i="47540"/>
  <c r="G1394" i="47540"/>
  <c r="G1414" i="47540"/>
  <c r="G1438" i="47540"/>
  <c r="G44" i="47540"/>
  <c r="G124" i="47540"/>
  <c r="G220" i="47540"/>
  <c r="G300" i="47540"/>
  <c r="G380" i="47540"/>
  <c r="G426" i="47540"/>
  <c r="G462" i="47540"/>
  <c r="G497" i="47540"/>
  <c r="G540" i="47540"/>
  <c r="G576" i="47540"/>
  <c r="G612" i="47540"/>
  <c r="G654" i="47540"/>
  <c r="G689" i="47540"/>
  <c r="G725" i="47540"/>
  <c r="G768" i="47540"/>
  <c r="G804" i="47540"/>
  <c r="G838" i="47540"/>
  <c r="G881" i="47540"/>
  <c r="G917" i="47540"/>
  <c r="G953" i="47540"/>
  <c r="G996" i="47540"/>
  <c r="G1030" i="47540"/>
  <c r="G1029" i="47540"/>
  <c r="G766" i="47540"/>
  <c r="G908" i="47540"/>
  <c r="G1047" i="47540"/>
  <c r="G1112" i="47540"/>
  <c r="G1166" i="47540"/>
  <c r="G1219" i="47540"/>
  <c r="G1283" i="47540"/>
  <c r="G1336" i="47540"/>
  <c r="G1389" i="47540"/>
  <c r="G1437" i="47540"/>
  <c r="G730" i="47540"/>
  <c r="G873" i="47540"/>
  <c r="G1042" i="47540"/>
  <c r="G1100" i="47540"/>
  <c r="G1154" i="47540"/>
  <c r="G1218" i="47540"/>
  <c r="G1271" i="47540"/>
  <c r="G1324" i="47540"/>
  <c r="G1388" i="47540"/>
  <c r="G1428" i="47540"/>
  <c r="G666" i="47540"/>
  <c r="G837" i="47540"/>
  <c r="G980" i="47540"/>
  <c r="G1075" i="47540"/>
  <c r="G1139" i="47540"/>
  <c r="G1192" i="47540"/>
  <c r="G1246" i="47540"/>
  <c r="G1310" i="47540"/>
  <c r="G1363" i="47540"/>
  <c r="G1409" i="47540"/>
  <c r="G660" i="47540"/>
  <c r="G830" i="47540"/>
  <c r="G972" i="47540"/>
  <c r="G1095" i="47540"/>
  <c r="G1148" i="47540"/>
  <c r="G1202" i="47540"/>
  <c r="G1266" i="47540"/>
  <c r="G1330" i="47540"/>
  <c r="G1383" i="47540"/>
  <c r="G1432" i="47540"/>
  <c r="G79" i="47540"/>
  <c r="G159" i="47540"/>
  <c r="G223" i="47540"/>
  <c r="G283" i="47540"/>
  <c r="G335" i="47540"/>
  <c r="G395" i="47540"/>
  <c r="G451" i="47540"/>
  <c r="G507" i="47540"/>
  <c r="G563" i="47540"/>
  <c r="G623" i="47540"/>
  <c r="G675" i="47540"/>
  <c r="G735" i="47540"/>
  <c r="G795" i="47540"/>
  <c r="G847" i="47540"/>
  <c r="G907" i="47540"/>
  <c r="G963" i="47540"/>
  <c r="G1019" i="47540"/>
  <c r="G50" i="47540"/>
  <c r="G110" i="47540"/>
  <c r="G162" i="47540"/>
  <c r="G222" i="47540"/>
  <c r="G282" i="47540"/>
  <c r="G334" i="47540"/>
  <c r="G17" i="47540"/>
  <c r="G129" i="47540"/>
  <c r="G241" i="47540"/>
  <c r="G353" i="47540"/>
  <c r="G104" i="47540"/>
  <c r="G208" i="47540"/>
  <c r="G328" i="47540"/>
  <c r="G418" i="47540"/>
  <c r="G472" i="47540"/>
  <c r="G530" i="47540"/>
  <c r="G589" i="47540"/>
  <c r="G642" i="47540"/>
  <c r="G701" i="47540"/>
  <c r="G760" i="47540"/>
  <c r="G813" i="47540"/>
  <c r="G872" i="47540"/>
  <c r="G930" i="47540"/>
  <c r="G984" i="47540"/>
  <c r="G1041" i="47540"/>
  <c r="G1085" i="47540"/>
  <c r="G1125" i="47540"/>
  <c r="G1169" i="47540"/>
  <c r="G1213" i="47540"/>
  <c r="G1253" i="47540"/>
  <c r="G1297" i="47540"/>
  <c r="G1341" i="47540"/>
  <c r="G1381" i="47540"/>
  <c r="G165" i="47540"/>
  <c r="G341" i="47540"/>
  <c r="G438" i="47540"/>
  <c r="G517" i="47540"/>
  <c r="G596" i="47540"/>
  <c r="G84" i="47540"/>
  <c r="G260" i="47540"/>
  <c r="G409" i="47540"/>
  <c r="G480" i="47540"/>
  <c r="G558" i="47540"/>
  <c r="G636" i="47540"/>
  <c r="G708" i="47540"/>
  <c r="G785" i="47540"/>
  <c r="G864" i="47540"/>
  <c r="G934" i="47540"/>
  <c r="G1013" i="47540"/>
  <c r="G1078" i="47540"/>
  <c r="G1131" i="47540"/>
  <c r="G1190" i="47540"/>
  <c r="G1248" i="47540"/>
  <c r="G1302" i="47540"/>
  <c r="G1360" i="47540"/>
  <c r="G1411" i="47540"/>
  <c r="G1451" i="47540"/>
  <c r="G173" i="47540"/>
  <c r="G349" i="47540"/>
  <c r="G442" i="47540"/>
  <c r="G521" i="47540"/>
  <c r="G598" i="47540"/>
  <c r="G656" i="47540"/>
  <c r="G698" i="47540"/>
  <c r="G748" i="47540"/>
  <c r="G805" i="47540"/>
  <c r="G854" i="47540"/>
  <c r="G897" i="47540"/>
  <c r="G954" i="47540"/>
  <c r="G1004" i="47540"/>
  <c r="G1050" i="47540"/>
  <c r="G1092" i="47540"/>
  <c r="G1124" i="47540"/>
  <c r="G1162" i="47540"/>
  <c r="G1204" i="47540"/>
  <c r="G1242" i="47540"/>
  <c r="G1274" i="47540"/>
  <c r="G1316" i="47540"/>
  <c r="G1354" i="47540"/>
  <c r="G1390" i="47540"/>
  <c r="G1422" i="47540"/>
  <c r="G1446" i="47540"/>
  <c r="G108" i="47540"/>
  <c r="G236" i="47540"/>
  <c r="G348" i="47540"/>
  <c r="G412" i="47540"/>
  <c r="G469" i="47540"/>
  <c r="G518" i="47540"/>
  <c r="G569" i="47540"/>
  <c r="G625" i="47540"/>
  <c r="G668" i="47540"/>
  <c r="G718" i="47540"/>
  <c r="G774" i="47540"/>
  <c r="G825" i="47540"/>
  <c r="G868" i="47540"/>
  <c r="G924" i="47540"/>
  <c r="G974" i="47540"/>
  <c r="G1024" i="47540"/>
  <c r="G652" i="47540"/>
  <c r="G822" i="47540"/>
  <c r="G1022" i="47540"/>
  <c r="G1123" i="47540"/>
  <c r="G1198" i="47540"/>
  <c r="G1262" i="47540"/>
  <c r="G1347" i="47540"/>
  <c r="G1413" i="47540"/>
  <c r="G702" i="47540"/>
  <c r="G929" i="47540"/>
  <c r="G1068" i="47540"/>
  <c r="G1143" i="47540"/>
  <c r="G1228" i="47540"/>
  <c r="G1303" i="47540"/>
  <c r="G1367" i="47540"/>
  <c r="G1436" i="47540"/>
  <c r="G752" i="47540"/>
  <c r="G950" i="47540"/>
  <c r="G1096" i="47540"/>
  <c r="G1160" i="47540"/>
  <c r="G1235" i="47540"/>
  <c r="G1320" i="47540"/>
  <c r="G1393" i="47540"/>
  <c r="G1441" i="47540"/>
  <c r="G858" i="47540"/>
  <c r="G1063" i="47540"/>
  <c r="G1138" i="47540"/>
  <c r="G1223" i="47540"/>
  <c r="G1298" i="47540"/>
  <c r="G1372" i="47540"/>
  <c r="G1440" i="47540"/>
  <c r="G47" i="47540"/>
  <c r="G123" i="47540"/>
  <c r="G195" i="47540"/>
  <c r="G251" i="47540"/>
  <c r="G307" i="47540"/>
  <c r="G367" i="47540"/>
  <c r="G419" i="47540"/>
  <c r="G479" i="47540"/>
  <c r="G539" i="47540"/>
  <c r="G591" i="47540"/>
  <c r="G651" i="47540"/>
  <c r="G707" i="47540"/>
  <c r="G763" i="47540"/>
  <c r="G819" i="47540"/>
  <c r="G879" i="47540"/>
  <c r="G931" i="47540"/>
  <c r="G991" i="47540"/>
  <c r="G26" i="47540"/>
  <c r="G78" i="47540"/>
  <c r="G138" i="47540"/>
  <c r="G194" i="47540"/>
  <c r="G250" i="47540"/>
  <c r="G306" i="47540"/>
  <c r="G366" i="47540"/>
  <c r="G65" i="47540"/>
  <c r="G185" i="47540"/>
  <c r="G305" i="47540"/>
  <c r="G40" i="47540"/>
  <c r="G160" i="47540"/>
  <c r="G272" i="47540"/>
  <c r="G384" i="47540"/>
  <c r="G445" i="47540"/>
  <c r="G504" i="47540"/>
  <c r="G557" i="47540"/>
  <c r="G616" i="47540"/>
  <c r="G674" i="47540"/>
  <c r="G728" i="47540"/>
  <c r="G786" i="47540"/>
  <c r="G845" i="47540"/>
  <c r="G898" i="47540"/>
  <c r="G957" i="47540"/>
  <c r="G1016" i="47540"/>
  <c r="G1061" i="47540"/>
  <c r="G1105" i="47540"/>
  <c r="G1149" i="47540"/>
  <c r="G1189" i="47540"/>
  <c r="G1233" i="47540"/>
  <c r="G1277" i="47540"/>
  <c r="G1317" i="47540"/>
  <c r="G1361" i="47540"/>
  <c r="G85" i="47540"/>
  <c r="G245" i="47540"/>
  <c r="G404" i="47540"/>
  <c r="G481" i="47540"/>
  <c r="G553" i="47540"/>
  <c r="G630" i="47540"/>
  <c r="G180" i="47540"/>
  <c r="G340" i="47540"/>
  <c r="G444" i="47540"/>
  <c r="G522" i="47540"/>
  <c r="G593" i="47540"/>
  <c r="G672" i="47540"/>
  <c r="G750" i="47540"/>
  <c r="G821" i="47540"/>
  <c r="G900" i="47540"/>
  <c r="G977" i="47540"/>
  <c r="G1046" i="47540"/>
  <c r="G1104" i="47540"/>
  <c r="G1163" i="47540"/>
  <c r="G1216" i="47540"/>
  <c r="G1275" i="47540"/>
  <c r="G1334" i="47540"/>
  <c r="G1387" i="47540"/>
  <c r="G1431" i="47540"/>
  <c r="G93" i="47540"/>
  <c r="G253" i="47540"/>
  <c r="G406" i="47540"/>
  <c r="G485" i="47540"/>
  <c r="G556" i="47540"/>
  <c r="G628" i="47540"/>
  <c r="G670" i="47540"/>
  <c r="G726" i="47540"/>
  <c r="G777" i="47540"/>
  <c r="G826" i="47540"/>
  <c r="G884" i="47540"/>
  <c r="G926" i="47540"/>
  <c r="G976" i="47540"/>
  <c r="G1033" i="47540"/>
  <c r="G1071" i="47540"/>
  <c r="G1103" i="47540"/>
  <c r="G1146" i="47540"/>
  <c r="G1183" i="47540"/>
  <c r="G1220" i="47540"/>
  <c r="G1263" i="47540"/>
  <c r="G1295" i="47540"/>
  <c r="G1332" i="47540"/>
  <c r="G1375" i="47540"/>
  <c r="G1406" i="47540"/>
  <c r="G1430" i="47540"/>
  <c r="G60" i="47540"/>
  <c r="G172" i="47540"/>
  <c r="G284" i="47540"/>
  <c r="G398" i="47540"/>
  <c r="G441" i="47540"/>
  <c r="G490" i="47540"/>
  <c r="G548" i="47540"/>
  <c r="G597" i="47540"/>
  <c r="G640" i="47540"/>
  <c r="G697" i="47540"/>
  <c r="G746" i="47540"/>
  <c r="G796" i="47540"/>
  <c r="G853" i="47540"/>
  <c r="G896" i="47540"/>
  <c r="G945" i="47540"/>
  <c r="G1002" i="47540"/>
  <c r="G1048" i="47540"/>
  <c r="G709" i="47540"/>
  <c r="G937" i="47540"/>
  <c r="G1080" i="47540"/>
  <c r="G1155" i="47540"/>
  <c r="G1240" i="47540"/>
  <c r="G1304" i="47540"/>
  <c r="G1379" i="47540"/>
  <c r="G1445" i="47540"/>
  <c r="G816" i="47540"/>
  <c r="G986" i="47540"/>
  <c r="G1111" i="47540"/>
  <c r="G1186" i="47540"/>
  <c r="G1260" i="47540"/>
  <c r="G1346" i="47540"/>
  <c r="G1404" i="47540"/>
  <c r="G638" i="47540"/>
  <c r="G865" i="47540"/>
  <c r="G1054" i="47540"/>
  <c r="G1118" i="47540"/>
  <c r="G1203" i="47540"/>
  <c r="G1278" i="47540"/>
  <c r="G1352" i="47540"/>
  <c r="G1425" i="47540"/>
  <c r="G745" i="47540"/>
  <c r="G944" i="47540"/>
  <c r="G1106" i="47540"/>
  <c r="G1180" i="47540"/>
  <c r="G1244" i="47540"/>
  <c r="G1340" i="47540"/>
  <c r="G1408" i="47540"/>
  <c r="G99" i="47540"/>
  <c r="G239" i="47540"/>
  <c r="G351" i="47540"/>
  <c r="G463" i="47540"/>
  <c r="G579" i="47540"/>
  <c r="G691" i="47540"/>
  <c r="G803" i="47540"/>
  <c r="G923" i="47540"/>
  <c r="G1035" i="47540"/>
  <c r="G122" i="47540"/>
  <c r="G238" i="47540"/>
  <c r="G350" i="47540"/>
  <c r="G153" i="47540"/>
  <c r="G16" i="47540"/>
  <c r="G240" i="47540"/>
  <c r="G429" i="47540"/>
  <c r="G546" i="47540"/>
  <c r="G658" i="47540"/>
  <c r="G770" i="47540"/>
  <c r="G888" i="47540"/>
  <c r="G1000" i="47540"/>
  <c r="G1093" i="47540"/>
  <c r="G1181" i="47540"/>
  <c r="G1265" i="47540"/>
  <c r="G1349" i="47540"/>
  <c r="G213" i="47540"/>
  <c r="G460" i="47540"/>
  <c r="G609" i="47540"/>
  <c r="G308" i="47540"/>
  <c r="G501" i="47540"/>
  <c r="G650" i="47540"/>
  <c r="G806" i="47540"/>
  <c r="G956" i="47540"/>
  <c r="G1088" i="47540"/>
  <c r="G1206" i="47540"/>
  <c r="G1318" i="47540"/>
  <c r="G1419" i="47540"/>
  <c r="G221" i="47540"/>
  <c r="G464" i="47540"/>
  <c r="G613" i="47540"/>
  <c r="G713" i="47540"/>
  <c r="G812" i="47540"/>
  <c r="G918" i="47540"/>
  <c r="G1012" i="47540"/>
  <c r="G1098" i="47540"/>
  <c r="G1178" i="47540"/>
  <c r="G1247" i="47540"/>
  <c r="G1327" i="47540"/>
  <c r="G1398" i="47540"/>
  <c r="G28" i="47540"/>
  <c r="G252" i="47540"/>
  <c r="G433" i="47540"/>
  <c r="G526" i="47540"/>
  <c r="G633" i="47540"/>
  <c r="G740" i="47540"/>
  <c r="G832" i="47540"/>
  <c r="G938" i="47540"/>
  <c r="G1038" i="47540"/>
  <c r="G880" i="47540"/>
  <c r="G1134" i="47540"/>
  <c r="G1294" i="47540"/>
  <c r="G1421" i="47540"/>
  <c r="G958" i="47540"/>
  <c r="G1175" i="47540"/>
  <c r="G1314" i="47540"/>
  <c r="G1452" i="47540"/>
  <c r="G1008" i="47540"/>
  <c r="G1182" i="47540"/>
  <c r="G1331" i="47540"/>
  <c r="G716" i="47540"/>
  <c r="G1074" i="47540"/>
  <c r="G1234" i="47540"/>
  <c r="G1400" i="47540"/>
  <c r="G139" i="47540"/>
  <c r="G267" i="47540"/>
  <c r="G379" i="47540"/>
  <c r="G495" i="47540"/>
  <c r="G607" i="47540"/>
  <c r="G719" i="47540"/>
  <c r="G835" i="47540"/>
  <c r="G947" i="47540"/>
  <c r="G34" i="47540"/>
  <c r="G154" i="47540"/>
  <c r="G266" i="47540"/>
  <c r="G378" i="47540"/>
  <c r="G217" i="47540"/>
  <c r="G72" i="47540"/>
  <c r="G296" i="47540"/>
  <c r="G461" i="47540"/>
  <c r="G573" i="47540"/>
  <c r="G685" i="47540"/>
  <c r="G802" i="47540"/>
  <c r="G914" i="47540"/>
  <c r="G1026" i="47540"/>
  <c r="G1117" i="47540"/>
  <c r="G1201" i="47540"/>
  <c r="G1285" i="47540"/>
  <c r="G1373" i="47540"/>
  <c r="G293" i="47540"/>
  <c r="G496" i="47540"/>
  <c r="G52" i="47540"/>
  <c r="G385" i="47540"/>
  <c r="G537" i="47540"/>
  <c r="G693" i="47540"/>
  <c r="G842" i="47540"/>
  <c r="G992" i="47540"/>
  <c r="G1120" i="47540"/>
  <c r="G1232" i="47540"/>
  <c r="G1344" i="47540"/>
  <c r="G1443" i="47540"/>
  <c r="G301" i="47540"/>
  <c r="G500" i="47540"/>
  <c r="G634" i="47540"/>
  <c r="G741" i="47540"/>
  <c r="G841" i="47540"/>
  <c r="G940" i="47540"/>
  <c r="G1039" i="47540"/>
  <c r="G1119" i="47540"/>
  <c r="G1188" i="47540"/>
  <c r="G1268" i="47540"/>
  <c r="G1348" i="47540"/>
  <c r="G1410" i="47540"/>
  <c r="G92" i="47540"/>
  <c r="G316" i="47540"/>
  <c r="G454" i="47540"/>
  <c r="G554" i="47540"/>
  <c r="G661" i="47540"/>
  <c r="G753" i="47540"/>
  <c r="G860" i="47540"/>
  <c r="G966" i="47540"/>
  <c r="G688" i="47540"/>
  <c r="G993" i="47540"/>
  <c r="G1176" i="47540"/>
  <c r="G1326" i="47540"/>
  <c r="G645" i="47540"/>
  <c r="G1058" i="47540"/>
  <c r="G1196" i="47540"/>
  <c r="G1356" i="47540"/>
  <c r="G724" i="47540"/>
  <c r="G1064" i="47540"/>
  <c r="G1224" i="47540"/>
  <c r="G1374" i="47540"/>
  <c r="G801" i="47540"/>
  <c r="G1116" i="47540"/>
  <c r="G1276" i="47540"/>
  <c r="G1416" i="47540"/>
  <c r="G27" i="47540"/>
  <c r="G179" i="47540"/>
  <c r="G291" i="47540"/>
  <c r="G411" i="47540"/>
  <c r="G523" i="47540"/>
  <c r="G635" i="47540"/>
  <c r="G751" i="47540"/>
  <c r="G863" i="47540"/>
  <c r="G975" i="47540"/>
  <c r="G66" i="47540"/>
  <c r="G178" i="47540"/>
  <c r="G290" i="47540"/>
  <c r="G49" i="47540"/>
  <c r="G273" i="47540"/>
  <c r="G128" i="47540"/>
  <c r="G360" i="47540"/>
  <c r="G488" i="47540"/>
  <c r="G600" i="47540"/>
  <c r="G717" i="47540"/>
  <c r="G829" i="47540"/>
  <c r="G941" i="47540"/>
  <c r="G1053" i="47540"/>
  <c r="G1137" i="47540"/>
  <c r="G1221" i="47540"/>
  <c r="G1309" i="47540"/>
  <c r="G37" i="47540"/>
  <c r="G373" i="47540"/>
  <c r="G538" i="47540"/>
  <c r="G132" i="47540"/>
  <c r="G422" i="47540"/>
  <c r="G580" i="47540"/>
  <c r="G729" i="47540"/>
  <c r="G878" i="47540"/>
  <c r="G1034" i="47540"/>
  <c r="G1147" i="47540"/>
  <c r="G1259" i="47540"/>
  <c r="G1376" i="47540"/>
  <c r="G45" i="47540"/>
  <c r="G381" i="47540"/>
  <c r="G542" i="47540"/>
  <c r="G662" i="47540"/>
  <c r="G769" i="47540"/>
  <c r="G862" i="47540"/>
  <c r="G969" i="47540"/>
  <c r="G1060" i="47540"/>
  <c r="G1135" i="47540"/>
  <c r="G1210" i="47540"/>
  <c r="G1290" i="47540"/>
  <c r="G1359" i="47540"/>
  <c r="G1426" i="47540"/>
  <c r="G156" i="47540"/>
  <c r="G364" i="47540"/>
  <c r="G484" i="47540"/>
  <c r="G582" i="47540"/>
  <c r="G682" i="47540"/>
  <c r="G782" i="47540"/>
  <c r="G889" i="47540"/>
  <c r="G981" i="47540"/>
  <c r="G681" i="47540"/>
  <c r="G1070" i="47540"/>
  <c r="G1208" i="47540"/>
  <c r="G1368" i="47540"/>
  <c r="G758" i="47540"/>
  <c r="G1090" i="47540"/>
  <c r="G1239" i="47540"/>
  <c r="G1396" i="47540"/>
  <c r="G780" i="47540"/>
  <c r="G1107" i="47540"/>
  <c r="G1267" i="47540"/>
  <c r="G1401" i="47540"/>
  <c r="G916" i="47540"/>
  <c r="G1159" i="47540"/>
  <c r="G1319" i="47540"/>
  <c r="G1448" i="47540"/>
  <c r="G67" i="47540"/>
  <c r="G207" i="47540"/>
  <c r="G323" i="47540"/>
  <c r="G435" i="47540"/>
  <c r="G547" i="47540"/>
  <c r="G667" i="47540"/>
  <c r="G779" i="47540"/>
  <c r="G891" i="47540"/>
  <c r="G1007" i="47540"/>
  <c r="G94" i="47540"/>
  <c r="G206" i="47540"/>
  <c r="G322" i="47540"/>
  <c r="G97" i="47540"/>
  <c r="G321" i="47540"/>
  <c r="G192" i="47540"/>
  <c r="G402" i="47540"/>
  <c r="G514" i="47540"/>
  <c r="G632" i="47540"/>
  <c r="G744" i="47540"/>
  <c r="G856" i="47540"/>
  <c r="G973" i="47540"/>
  <c r="G1073" i="47540"/>
  <c r="G1157" i="47540"/>
  <c r="G1245" i="47540"/>
  <c r="G1329" i="47540"/>
  <c r="G117" i="47540"/>
  <c r="G425" i="47540"/>
  <c r="G574" i="47540"/>
  <c r="G212" i="47540"/>
  <c r="G465" i="47540"/>
  <c r="G614" i="47540"/>
  <c r="G764" i="47540"/>
  <c r="G921" i="47540"/>
  <c r="G1062" i="47540"/>
  <c r="G1174" i="47540"/>
  <c r="G1291" i="47540"/>
  <c r="G1399" i="47540"/>
  <c r="G125" i="47540"/>
  <c r="G428" i="47540"/>
  <c r="G577" i="47540"/>
  <c r="G692" i="47540"/>
  <c r="G784" i="47540"/>
  <c r="G890" i="47540"/>
  <c r="G997" i="47540"/>
  <c r="G1076" i="47540"/>
  <c r="G1156" i="47540"/>
  <c r="G1231" i="47540"/>
  <c r="G1306" i="47540"/>
  <c r="G1380" i="47540"/>
  <c r="G1442" i="47540"/>
  <c r="G188" i="47540"/>
  <c r="G405" i="47540"/>
  <c r="G512" i="47540"/>
  <c r="G604" i="47540"/>
  <c r="G710" i="47540"/>
  <c r="G810" i="47540"/>
  <c r="G910" i="47540"/>
  <c r="G1009" i="47540"/>
  <c r="G794" i="47540"/>
  <c r="G1091" i="47540"/>
  <c r="G1251" i="47540"/>
  <c r="G1405" i="47540"/>
  <c r="G844" i="47540"/>
  <c r="G1132" i="47540"/>
  <c r="G1282" i="47540"/>
  <c r="G1420" i="47540"/>
  <c r="G894" i="47540"/>
  <c r="G1150" i="47540"/>
  <c r="G1288" i="47540"/>
  <c r="G1433" i="47540"/>
  <c r="G1052" i="47540"/>
  <c r="G1191" i="47540"/>
  <c r="G1362" i="47540"/>
  <c r="B1449" i="47540"/>
  <c r="B1433" i="47540"/>
  <c r="B1417" i="47540"/>
  <c r="B1401" i="47540"/>
  <c r="B1385" i="47540"/>
  <c r="B1369" i="47540"/>
  <c r="B1353" i="47540"/>
  <c r="B1337" i="47540"/>
  <c r="B1321" i="47540"/>
  <c r="B1305" i="47540"/>
  <c r="B1289" i="47540"/>
  <c r="B1273" i="47540"/>
  <c r="B1257" i="47540"/>
  <c r="B1241" i="47540"/>
  <c r="B1225" i="47540"/>
  <c r="B1209" i="47540"/>
  <c r="B1193" i="47540"/>
  <c r="B1177" i="47540"/>
  <c r="B1161" i="47540"/>
  <c r="B1145" i="47540"/>
  <c r="B1129" i="47540"/>
  <c r="B1113" i="47540"/>
  <c r="B1097" i="47540"/>
  <c r="B1081" i="47540"/>
  <c r="B1065" i="47540"/>
  <c r="B1049" i="47540"/>
  <c r="B1033" i="47540"/>
  <c r="B1017" i="47540"/>
  <c r="B1001" i="47540"/>
  <c r="B985" i="47540"/>
  <c r="B969" i="47540"/>
  <c r="B953" i="47540"/>
  <c r="B937" i="47540"/>
  <c r="B921" i="47540"/>
  <c r="B905" i="47540"/>
  <c r="B889" i="47540"/>
  <c r="B873" i="47540"/>
  <c r="B857" i="47540"/>
  <c r="B841" i="47540"/>
  <c r="B825" i="47540"/>
  <c r="B809" i="47540"/>
  <c r="B793" i="47540"/>
  <c r="B777" i="47540"/>
  <c r="B761" i="47540"/>
  <c r="B745" i="47540"/>
  <c r="B729" i="47540"/>
  <c r="B713" i="47540"/>
  <c r="B697" i="47540"/>
  <c r="B681" i="47540"/>
  <c r="B665" i="47540"/>
  <c r="B649" i="47540"/>
  <c r="B633" i="47540"/>
  <c r="B617" i="47540"/>
  <c r="B601" i="47540"/>
  <c r="B585" i="47540"/>
  <c r="B569" i="47540"/>
  <c r="B553" i="47540"/>
  <c r="B537" i="47540"/>
  <c r="B521" i="47540"/>
  <c r="B505" i="47540"/>
  <c r="B489" i="47540"/>
  <c r="B473" i="47540"/>
  <c r="B457" i="47540"/>
  <c r="B441" i="47540"/>
  <c r="B1448" i="47540"/>
  <c r="B1427" i="47540"/>
  <c r="B1406" i="47540"/>
  <c r="B1384" i="47540"/>
  <c r="B1363" i="47540"/>
  <c r="B1342" i="47540"/>
  <c r="B1320" i="47540"/>
  <c r="B1299" i="47540"/>
  <c r="B1278" i="47540"/>
  <c r="B1256" i="47540"/>
  <c r="B1235" i="47540"/>
  <c r="B1214" i="47540"/>
  <c r="B1192" i="47540"/>
  <c r="B1171" i="47540"/>
  <c r="B1150" i="47540"/>
  <c r="B1128" i="47540"/>
  <c r="B1107" i="47540"/>
  <c r="B1086" i="47540"/>
  <c r="B1064" i="47540"/>
  <c r="B1043" i="47540"/>
  <c r="B1022" i="47540"/>
  <c r="B1000" i="47540"/>
  <c r="B979" i="47540"/>
  <c r="B958" i="47540"/>
  <c r="B936" i="47540"/>
  <c r="B915" i="47540"/>
  <c r="B894" i="47540"/>
  <c r="B872" i="47540"/>
  <c r="B851" i="47540"/>
  <c r="B830" i="47540"/>
  <c r="B808" i="47540"/>
  <c r="B787" i="47540"/>
  <c r="B766" i="47540"/>
  <c r="B744" i="47540"/>
  <c r="B723" i="47540"/>
  <c r="B702" i="47540"/>
  <c r="B680" i="47540"/>
  <c r="B659" i="47540"/>
  <c r="B638" i="47540"/>
  <c r="B616" i="47540"/>
  <c r="B595" i="47540"/>
  <c r="B574" i="47540"/>
  <c r="B552" i="47540"/>
  <c r="B531" i="47540"/>
  <c r="B510" i="47540"/>
  <c r="B488" i="47540"/>
  <c r="B467" i="47540"/>
  <c r="B446" i="47540"/>
  <c r="B425" i="47540"/>
  <c r="B409" i="47540"/>
  <c r="B393" i="47540"/>
  <c r="B377" i="47540"/>
  <c r="B361" i="47540"/>
  <c r="B345" i="47540"/>
  <c r="B329" i="47540"/>
  <c r="B313" i="47540"/>
  <c r="B297" i="47540"/>
  <c r="B281" i="47540"/>
  <c r="B265" i="47540"/>
  <c r="B249" i="47540"/>
  <c r="B233" i="47540"/>
  <c r="B217" i="47540"/>
  <c r="B201" i="47540"/>
  <c r="B185" i="47540"/>
  <c r="B169" i="47540"/>
  <c r="B153" i="47540"/>
  <c r="B137" i="47540"/>
  <c r="B121" i="47540"/>
  <c r="B105" i="47540"/>
  <c r="B89" i="47540"/>
  <c r="B73" i="47540"/>
  <c r="B57" i="47540"/>
  <c r="B41" i="47540"/>
  <c r="B25" i="47540"/>
  <c r="B1450" i="47540"/>
  <c r="B1428" i="47540"/>
  <c r="B1407" i="47540"/>
  <c r="B1386" i="47540"/>
  <c r="B1364" i="47540"/>
  <c r="B1343" i="47540"/>
  <c r="B1322" i="47540"/>
  <c r="B1300" i="47540"/>
  <c r="B1279" i="47540"/>
  <c r="B1258" i="47540"/>
  <c r="B1236" i="47540"/>
  <c r="B1215" i="47540"/>
  <c r="B1194" i="47540"/>
  <c r="B1172" i="47540"/>
  <c r="B1151" i="47540"/>
  <c r="B1130" i="47540"/>
  <c r="B1108" i="47540"/>
  <c r="B1087" i="47540"/>
  <c r="B1066" i="47540"/>
  <c r="B1044" i="47540"/>
  <c r="B1023" i="47540"/>
  <c r="B1002" i="47540"/>
  <c r="B980" i="47540"/>
  <c r="B959" i="47540"/>
  <c r="B938" i="47540"/>
  <c r="B916" i="47540"/>
  <c r="B895" i="47540"/>
  <c r="B874" i="47540"/>
  <c r="B852" i="47540"/>
  <c r="B831" i="47540"/>
  <c r="B810" i="47540"/>
  <c r="B788" i="47540"/>
  <c r="B767" i="47540"/>
  <c r="B746" i="47540"/>
  <c r="B724" i="47540"/>
  <c r="B703" i="47540"/>
  <c r="B682" i="47540"/>
  <c r="B660" i="47540"/>
  <c r="B639" i="47540"/>
  <c r="B618" i="47540"/>
  <c r="B596" i="47540"/>
  <c r="B575" i="47540"/>
  <c r="B554" i="47540"/>
  <c r="B532" i="47540"/>
  <c r="B511" i="47540"/>
  <c r="B490" i="47540"/>
  <c r="B468" i="47540"/>
  <c r="B447" i="47540"/>
  <c r="B426" i="47540"/>
  <c r="B410" i="47540"/>
  <c r="B394" i="47540"/>
  <c r="B378" i="47540"/>
  <c r="B362" i="47540"/>
  <c r="B346" i="47540"/>
  <c r="B1446" i="47540"/>
  <c r="B1403" i="47540"/>
  <c r="B1360" i="47540"/>
  <c r="B1318" i="47540"/>
  <c r="B1275" i="47540"/>
  <c r="B1232" i="47540"/>
  <c r="B1190" i="47540"/>
  <c r="B1147" i="47540"/>
  <c r="B1104" i="47540"/>
  <c r="B1062" i="47540"/>
  <c r="B1019" i="47540"/>
  <c r="B976" i="47540"/>
  <c r="B934" i="47540"/>
  <c r="B891" i="47540"/>
  <c r="B848" i="47540"/>
  <c r="B806" i="47540"/>
  <c r="B763" i="47540"/>
  <c r="B720" i="47540"/>
  <c r="B678" i="47540"/>
  <c r="B635" i="47540"/>
  <c r="B592" i="47540"/>
  <c r="B550" i="47540"/>
  <c r="B507" i="47540"/>
  <c r="B464" i="47540"/>
  <c r="B423" i="47540"/>
  <c r="B391" i="47540"/>
  <c r="B359" i="47540"/>
  <c r="B328" i="47540"/>
  <c r="B307" i="47540"/>
  <c r="B286" i="47540"/>
  <c r="B264" i="47540"/>
  <c r="B243" i="47540"/>
  <c r="B222" i="47540"/>
  <c r="B200" i="47540"/>
  <c r="B179" i="47540"/>
  <c r="B158" i="47540"/>
  <c r="B136" i="47540"/>
  <c r="B115" i="47540"/>
  <c r="B94" i="47540"/>
  <c r="B72" i="47540"/>
  <c r="B51" i="47540"/>
  <c r="B30" i="47540"/>
  <c r="B1447" i="47540"/>
  <c r="B1404" i="47540"/>
  <c r="B1362" i="47540"/>
  <c r="B1319" i="47540"/>
  <c r="B1276" i="47540"/>
  <c r="B1234" i="47540"/>
  <c r="B1191" i="47540"/>
  <c r="B1148" i="47540"/>
  <c r="B1441" i="47540"/>
  <c r="B1425" i="47540"/>
  <c r="B1409" i="47540"/>
  <c r="B1393" i="47540"/>
  <c r="B1377" i="47540"/>
  <c r="B1361" i="47540"/>
  <c r="B1345" i="47540"/>
  <c r="B1329" i="47540"/>
  <c r="B1313" i="47540"/>
  <c r="B1297" i="47540"/>
  <c r="B1281" i="47540"/>
  <c r="B1265" i="47540"/>
  <c r="B1249" i="47540"/>
  <c r="B1233" i="47540"/>
  <c r="B1217" i="47540"/>
  <c r="B1201" i="47540"/>
  <c r="B1185" i="47540"/>
  <c r="B1169" i="47540"/>
  <c r="B1153" i="47540"/>
  <c r="B1137" i="47540"/>
  <c r="B1121" i="47540"/>
  <c r="B1105" i="47540"/>
  <c r="B1089" i="47540"/>
  <c r="B1073" i="47540"/>
  <c r="B1057" i="47540"/>
  <c r="B1041" i="47540"/>
  <c r="B1025" i="47540"/>
  <c r="B1009" i="47540"/>
  <c r="B993" i="47540"/>
  <c r="B977" i="47540"/>
  <c r="B961" i="47540"/>
  <c r="B945" i="47540"/>
  <c r="B929" i="47540"/>
  <c r="B913" i="47540"/>
  <c r="B897" i="47540"/>
  <c r="B881" i="47540"/>
  <c r="B865" i="47540"/>
  <c r="B849" i="47540"/>
  <c r="B833" i="47540"/>
  <c r="B817" i="47540"/>
  <c r="B801" i="47540"/>
  <c r="B785" i="47540"/>
  <c r="B769" i="47540"/>
  <c r="B753" i="47540"/>
  <c r="B737" i="47540"/>
  <c r="B721" i="47540"/>
  <c r="B705" i="47540"/>
  <c r="B689" i="47540"/>
  <c r="B673" i="47540"/>
  <c r="B657" i="47540"/>
  <c r="B641" i="47540"/>
  <c r="B625" i="47540"/>
  <c r="B609" i="47540"/>
  <c r="B593" i="47540"/>
  <c r="B577" i="47540"/>
  <c r="B561" i="47540"/>
  <c r="B545" i="47540"/>
  <c r="B529" i="47540"/>
  <c r="B513" i="47540"/>
  <c r="B497" i="47540"/>
  <c r="B481" i="47540"/>
  <c r="B465" i="47540"/>
  <c r="B449" i="47540"/>
  <c r="B433" i="47540"/>
  <c r="B1438" i="47540"/>
  <c r="B1416" i="47540"/>
  <c r="B1395" i="47540"/>
  <c r="B1374" i="47540"/>
  <c r="B1352" i="47540"/>
  <c r="B1331" i="47540"/>
  <c r="B1310" i="47540"/>
  <c r="B1288" i="47540"/>
  <c r="B1267" i="47540"/>
  <c r="B1246" i="47540"/>
  <c r="B1224" i="47540"/>
  <c r="B1203" i="47540"/>
  <c r="B1182" i="47540"/>
  <c r="B1160" i="47540"/>
  <c r="B1139" i="47540"/>
  <c r="B1118" i="47540"/>
  <c r="B1096" i="47540"/>
  <c r="B1075" i="47540"/>
  <c r="B1054" i="47540"/>
  <c r="B1032" i="47540"/>
  <c r="B1011" i="47540"/>
  <c r="B990" i="47540"/>
  <c r="B968" i="47540"/>
  <c r="B947" i="47540"/>
  <c r="B926" i="47540"/>
  <c r="B904" i="47540"/>
  <c r="B883" i="47540"/>
  <c r="B862" i="47540"/>
  <c r="B840" i="47540"/>
  <c r="B819" i="47540"/>
  <c r="B798" i="47540"/>
  <c r="B776" i="47540"/>
  <c r="B755" i="47540"/>
  <c r="B734" i="47540"/>
  <c r="B712" i="47540"/>
  <c r="B691" i="47540"/>
  <c r="B670" i="47540"/>
  <c r="B648" i="47540"/>
  <c r="B627" i="47540"/>
  <c r="B606" i="47540"/>
  <c r="B584" i="47540"/>
  <c r="B563" i="47540"/>
  <c r="B542" i="47540"/>
  <c r="B520" i="47540"/>
  <c r="B499" i="47540"/>
  <c r="B478" i="47540"/>
  <c r="B456" i="47540"/>
  <c r="B435" i="47540"/>
  <c r="B417" i="47540"/>
  <c r="B401" i="47540"/>
  <c r="B385" i="47540"/>
  <c r="B369" i="47540"/>
  <c r="B353" i="47540"/>
  <c r="B337" i="47540"/>
  <c r="B321" i="47540"/>
  <c r="B305" i="47540"/>
  <c r="B289" i="47540"/>
  <c r="B273" i="47540"/>
  <c r="B257" i="47540"/>
  <c r="B241" i="47540"/>
  <c r="B225" i="47540"/>
  <c r="B209" i="47540"/>
  <c r="B193" i="47540"/>
  <c r="B177" i="47540"/>
  <c r="B161" i="47540"/>
  <c r="B145" i="47540"/>
  <c r="B129" i="47540"/>
  <c r="B113" i="47540"/>
  <c r="B97" i="47540"/>
  <c r="B81" i="47540"/>
  <c r="B65" i="47540"/>
  <c r="B49" i="47540"/>
  <c r="B33" i="47540"/>
  <c r="B17" i="47540"/>
  <c r="B1439" i="47540"/>
  <c r="B1418" i="47540"/>
  <c r="B1396" i="47540"/>
  <c r="B1375" i="47540"/>
  <c r="B1354" i="47540"/>
  <c r="B1332" i="47540"/>
  <c r="B1311" i="47540"/>
  <c r="B1290" i="47540"/>
  <c r="B1268" i="47540"/>
  <c r="B1247" i="47540"/>
  <c r="B1226" i="47540"/>
  <c r="B1204" i="47540"/>
  <c r="B1183" i="47540"/>
  <c r="B1162" i="47540"/>
  <c r="B1140" i="47540"/>
  <c r="B1119" i="47540"/>
  <c r="B1098" i="47540"/>
  <c r="B1076" i="47540"/>
  <c r="B1055" i="47540"/>
  <c r="B1034" i="47540"/>
  <c r="B1012" i="47540"/>
  <c r="B991" i="47540"/>
  <c r="B970" i="47540"/>
  <c r="B948" i="47540"/>
  <c r="B927" i="47540"/>
  <c r="B906" i="47540"/>
  <c r="B884" i="47540"/>
  <c r="B863" i="47540"/>
  <c r="B842" i="47540"/>
  <c r="B820" i="47540"/>
  <c r="B799" i="47540"/>
  <c r="B778" i="47540"/>
  <c r="B756" i="47540"/>
  <c r="B735" i="47540"/>
  <c r="B714" i="47540"/>
  <c r="B692" i="47540"/>
  <c r="B671" i="47540"/>
  <c r="B650" i="47540"/>
  <c r="B628" i="47540"/>
  <c r="B607" i="47540"/>
  <c r="B586" i="47540"/>
  <c r="B564" i="47540"/>
  <c r="B543" i="47540"/>
  <c r="B522" i="47540"/>
  <c r="B500" i="47540"/>
  <c r="B479" i="47540"/>
  <c r="B458" i="47540"/>
  <c r="B436" i="47540"/>
  <c r="B418" i="47540"/>
  <c r="B402" i="47540"/>
  <c r="B386" i="47540"/>
  <c r="B370" i="47540"/>
  <c r="B354" i="47540"/>
  <c r="B338" i="47540"/>
  <c r="B1424" i="47540"/>
  <c r="B1382" i="47540"/>
  <c r="B1339" i="47540"/>
  <c r="B1296" i="47540"/>
  <c r="B1254" i="47540"/>
  <c r="B1211" i="47540"/>
  <c r="B1168" i="47540"/>
  <c r="B1126" i="47540"/>
  <c r="B1083" i="47540"/>
  <c r="B1040" i="47540"/>
  <c r="B998" i="47540"/>
  <c r="B955" i="47540"/>
  <c r="B912" i="47540"/>
  <c r="B870" i="47540"/>
  <c r="B827" i="47540"/>
  <c r="B784" i="47540"/>
  <c r="B742" i="47540"/>
  <c r="B699" i="47540"/>
  <c r="B656" i="47540"/>
  <c r="B614" i="47540"/>
  <c r="B571" i="47540"/>
  <c r="B528" i="47540"/>
  <c r="B486" i="47540"/>
  <c r="B443" i="47540"/>
  <c r="B407" i="47540"/>
  <c r="B375" i="47540"/>
  <c r="B343" i="47540"/>
  <c r="B318" i="47540"/>
  <c r="B296" i="47540"/>
  <c r="B275" i="47540"/>
  <c r="B254" i="47540"/>
  <c r="B232" i="47540"/>
  <c r="B211" i="47540"/>
  <c r="B190" i="47540"/>
  <c r="B168" i="47540"/>
  <c r="B147" i="47540"/>
  <c r="B126" i="47540"/>
  <c r="B104" i="47540"/>
  <c r="B83" i="47540"/>
  <c r="B62" i="47540"/>
  <c r="B40" i="47540"/>
  <c r="B19" i="47540"/>
  <c r="B1426" i="47540"/>
  <c r="B1383" i="47540"/>
  <c r="B1340" i="47540"/>
  <c r="B1298" i="47540"/>
  <c r="B1255" i="47540"/>
  <c r="B1212" i="47540"/>
  <c r="B1170" i="47540"/>
  <c r="B1445" i="47540"/>
  <c r="B1413" i="47540"/>
  <c r="B1381" i="47540"/>
  <c r="B1349" i="47540"/>
  <c r="B1317" i="47540"/>
  <c r="B1285" i="47540"/>
  <c r="B1253" i="47540"/>
  <c r="B1221" i="47540"/>
  <c r="B1189" i="47540"/>
  <c r="B1157" i="47540"/>
  <c r="B1125" i="47540"/>
  <c r="B1093" i="47540"/>
  <c r="B1061" i="47540"/>
  <c r="B1029" i="47540"/>
  <c r="B997" i="47540"/>
  <c r="B965" i="47540"/>
  <c r="B933" i="47540"/>
  <c r="B901" i="47540"/>
  <c r="B869" i="47540"/>
  <c r="B837" i="47540"/>
  <c r="B805" i="47540"/>
  <c r="B773" i="47540"/>
  <c r="B741" i="47540"/>
  <c r="B709" i="47540"/>
  <c r="B677" i="47540"/>
  <c r="B645" i="47540"/>
  <c r="B613" i="47540"/>
  <c r="B581" i="47540"/>
  <c r="B549" i="47540"/>
  <c r="B517" i="47540"/>
  <c r="B485" i="47540"/>
  <c r="B453" i="47540"/>
  <c r="B1443" i="47540"/>
  <c r="B1400" i="47540"/>
  <c r="B1358" i="47540"/>
  <c r="B1315" i="47540"/>
  <c r="B1272" i="47540"/>
  <c r="B1230" i="47540"/>
  <c r="B1187" i="47540"/>
  <c r="B1144" i="47540"/>
  <c r="B1102" i="47540"/>
  <c r="B1059" i="47540"/>
  <c r="B1016" i="47540"/>
  <c r="B974" i="47540"/>
  <c r="B931" i="47540"/>
  <c r="B888" i="47540"/>
  <c r="B846" i="47540"/>
  <c r="B803" i="47540"/>
  <c r="B760" i="47540"/>
  <c r="B718" i="47540"/>
  <c r="B675" i="47540"/>
  <c r="B632" i="47540"/>
  <c r="B590" i="47540"/>
  <c r="B547" i="47540"/>
  <c r="B504" i="47540"/>
  <c r="B462" i="47540"/>
  <c r="B421" i="47540"/>
  <c r="B389" i="47540"/>
  <c r="B357" i="47540"/>
  <c r="B325" i="47540"/>
  <c r="B293" i="47540"/>
  <c r="B261" i="47540"/>
  <c r="B229" i="47540"/>
  <c r="B197" i="47540"/>
  <c r="B165" i="47540"/>
  <c r="B133" i="47540"/>
  <c r="B101" i="47540"/>
  <c r="B69" i="47540"/>
  <c r="B37" i="47540"/>
  <c r="B1444" i="47540"/>
  <c r="B1402" i="47540"/>
  <c r="B1359" i="47540"/>
  <c r="B1316" i="47540"/>
  <c r="B1274" i="47540"/>
  <c r="B1231" i="47540"/>
  <c r="B1188" i="47540"/>
  <c r="B1146" i="47540"/>
  <c r="B1103" i="47540"/>
  <c r="B1060" i="47540"/>
  <c r="B1018" i="47540"/>
  <c r="B975" i="47540"/>
  <c r="B932" i="47540"/>
  <c r="B890" i="47540"/>
  <c r="B847" i="47540"/>
  <c r="B804" i="47540"/>
  <c r="B762" i="47540"/>
  <c r="B719" i="47540"/>
  <c r="B676" i="47540"/>
  <c r="B634" i="47540"/>
  <c r="B591" i="47540"/>
  <c r="B548" i="47540"/>
  <c r="B506" i="47540"/>
  <c r="B463" i="47540"/>
  <c r="B422" i="47540"/>
  <c r="B390" i="47540"/>
  <c r="B358" i="47540"/>
  <c r="B1435" i="47540"/>
  <c r="B1350" i="47540"/>
  <c r="B1264" i="47540"/>
  <c r="B1179" i="47540"/>
  <c r="B1094" i="47540"/>
  <c r="B1008" i="47540"/>
  <c r="B923" i="47540"/>
  <c r="B838" i="47540"/>
  <c r="B752" i="47540"/>
  <c r="B667" i="47540"/>
  <c r="B582" i="47540"/>
  <c r="B496" i="47540"/>
  <c r="B415" i="47540"/>
  <c r="B351" i="47540"/>
  <c r="B302" i="47540"/>
  <c r="B259" i="47540"/>
  <c r="B216" i="47540"/>
  <c r="B174" i="47540"/>
  <c r="B131" i="47540"/>
  <c r="B88" i="47540"/>
  <c r="B46" i="47540"/>
  <c r="B1436" i="47540"/>
  <c r="B1351" i="47540"/>
  <c r="B1266" i="47540"/>
  <c r="B1180" i="47540"/>
  <c r="B1116" i="47540"/>
  <c r="B1074" i="47540"/>
  <c r="B1031" i="47540"/>
  <c r="B988" i="47540"/>
  <c r="B946" i="47540"/>
  <c r="B903" i="47540"/>
  <c r="B860" i="47540"/>
  <c r="B818" i="47540"/>
  <c r="B775" i="47540"/>
  <c r="B732" i="47540"/>
  <c r="B690" i="47540"/>
  <c r="B647" i="47540"/>
  <c r="B604" i="47540"/>
  <c r="B562" i="47540"/>
  <c r="B519" i="47540"/>
  <c r="B476" i="47540"/>
  <c r="B434" i="47540"/>
  <c r="B400" i="47540"/>
  <c r="B368" i="47540"/>
  <c r="B336" i="47540"/>
  <c r="B314" i="47540"/>
  <c r="B292" i="47540"/>
  <c r="B271" i="47540"/>
  <c r="B250" i="47540"/>
  <c r="B228" i="47540"/>
  <c r="B207" i="47540"/>
  <c r="B186" i="47540"/>
  <c r="B164" i="47540"/>
  <c r="B143" i="47540"/>
  <c r="B122" i="47540"/>
  <c r="B100" i="47540"/>
  <c r="B79" i="47540"/>
  <c r="B58" i="47540"/>
  <c r="B36" i="47540"/>
  <c r="B15" i="47540"/>
  <c r="B1419" i="47540"/>
  <c r="B1376" i="47540"/>
  <c r="B1334" i="47540"/>
  <c r="B1291" i="47540"/>
  <c r="B1248" i="47540"/>
  <c r="B1206" i="47540"/>
  <c r="B1163" i="47540"/>
  <c r="B1120" i="47540"/>
  <c r="B1078" i="47540"/>
  <c r="B1035" i="47540"/>
  <c r="B992" i="47540"/>
  <c r="B950" i="47540"/>
  <c r="B907" i="47540"/>
  <c r="B864" i="47540"/>
  <c r="B822" i="47540"/>
  <c r="B779" i="47540"/>
  <c r="B736" i="47540"/>
  <c r="B694" i="47540"/>
  <c r="B651" i="47540"/>
  <c r="B608" i="47540"/>
  <c r="B566" i="47540"/>
  <c r="B523" i="47540"/>
  <c r="B480" i="47540"/>
  <c r="B438" i="47540"/>
  <c r="B403" i="47540"/>
  <c r="B371" i="47540"/>
  <c r="B339" i="47540"/>
  <c r="B315" i="47540"/>
  <c r="B294" i="47540"/>
  <c r="B272" i="47540"/>
  <c r="B251" i="47540"/>
  <c r="B230" i="47540"/>
  <c r="B208" i="47540"/>
  <c r="B187" i="47540"/>
  <c r="B166" i="47540"/>
  <c r="B144" i="47540"/>
  <c r="B123" i="47540"/>
  <c r="B102" i="47540"/>
  <c r="B80" i="47540"/>
  <c r="B59" i="47540"/>
  <c r="B38" i="47540"/>
  <c r="B16" i="47540"/>
  <c r="B1420" i="47540"/>
  <c r="B1378" i="47540"/>
  <c r="B1335" i="47540"/>
  <c r="B1292" i="47540"/>
  <c r="B1250" i="47540"/>
  <c r="B1207" i="47540"/>
  <c r="B1164" i="47540"/>
  <c r="B1122" i="47540"/>
  <c r="B1079" i="47540"/>
  <c r="B1036" i="47540"/>
  <c r="B994" i="47540"/>
  <c r="B951" i="47540"/>
  <c r="B908" i="47540"/>
  <c r="B866" i="47540"/>
  <c r="B823" i="47540"/>
  <c r="B780" i="47540"/>
  <c r="B738" i="47540"/>
  <c r="B695" i="47540"/>
  <c r="B652" i="47540"/>
  <c r="B610" i="47540"/>
  <c r="B567" i="47540"/>
  <c r="B524" i="47540"/>
  <c r="B482" i="47540"/>
  <c r="B439" i="47540"/>
  <c r="B404" i="47540"/>
  <c r="B372" i="47540"/>
  <c r="B340" i="47540"/>
  <c r="B316" i="47540"/>
  <c r="B295" i="47540"/>
  <c r="B274" i="47540"/>
  <c r="B252" i="47540"/>
  <c r="B231" i="47540"/>
  <c r="B210" i="47540"/>
  <c r="B188" i="47540"/>
  <c r="B167" i="47540"/>
  <c r="B146" i="47540"/>
  <c r="B124" i="47540"/>
  <c r="B103" i="47540"/>
  <c r="B82" i="47540"/>
  <c r="B60" i="47540"/>
  <c r="B39" i="47540"/>
  <c r="B18" i="47540"/>
  <c r="B1429" i="47540"/>
  <c r="B1397" i="47540"/>
  <c r="B1365" i="47540"/>
  <c r="B1333" i="47540"/>
  <c r="B1301" i="47540"/>
  <c r="B1269" i="47540"/>
  <c r="B1237" i="47540"/>
  <c r="B1205" i="47540"/>
  <c r="B1173" i="47540"/>
  <c r="B1141" i="47540"/>
  <c r="B1109" i="47540"/>
  <c r="B1077" i="47540"/>
  <c r="B1045" i="47540"/>
  <c r="B1013" i="47540"/>
  <c r="B981" i="47540"/>
  <c r="B949" i="47540"/>
  <c r="B917" i="47540"/>
  <c r="B885" i="47540"/>
  <c r="B853" i="47540"/>
  <c r="B821" i="47540"/>
  <c r="B789" i="47540"/>
  <c r="B757" i="47540"/>
  <c r="B725" i="47540"/>
  <c r="B693" i="47540"/>
  <c r="B661" i="47540"/>
  <c r="B629" i="47540"/>
  <c r="B597" i="47540"/>
  <c r="B565" i="47540"/>
  <c r="B533" i="47540"/>
  <c r="B501" i="47540"/>
  <c r="B469" i="47540"/>
  <c r="B437" i="47540"/>
  <c r="B1422" i="47540"/>
  <c r="B1379" i="47540"/>
  <c r="B1336" i="47540"/>
  <c r="B1294" i="47540"/>
  <c r="B1251" i="47540"/>
  <c r="B1208" i="47540"/>
  <c r="B1166" i="47540"/>
  <c r="B1123" i="47540"/>
  <c r="B1080" i="47540"/>
  <c r="B1038" i="47540"/>
  <c r="B995" i="47540"/>
  <c r="B952" i="47540"/>
  <c r="B910" i="47540"/>
  <c r="B867" i="47540"/>
  <c r="B824" i="47540"/>
  <c r="B782" i="47540"/>
  <c r="B739" i="47540"/>
  <c r="B696" i="47540"/>
  <c r="B654" i="47540"/>
  <c r="B611" i="47540"/>
  <c r="B568" i="47540"/>
  <c r="B526" i="47540"/>
  <c r="B483" i="47540"/>
  <c r="B440" i="47540"/>
  <c r="B405" i="47540"/>
  <c r="B373" i="47540"/>
  <c r="B341" i="47540"/>
  <c r="B309" i="47540"/>
  <c r="B277" i="47540"/>
  <c r="B245" i="47540"/>
  <c r="B213" i="47540"/>
  <c r="B181" i="47540"/>
  <c r="B149" i="47540"/>
  <c r="B117" i="47540"/>
  <c r="B85" i="47540"/>
  <c r="B53" i="47540"/>
  <c r="B21" i="47540"/>
  <c r="B1423" i="47540"/>
  <c r="B1380" i="47540"/>
  <c r="B1338" i="47540"/>
  <c r="B1295" i="47540"/>
  <c r="B1252" i="47540"/>
  <c r="B1210" i="47540"/>
  <c r="B1167" i="47540"/>
  <c r="B1124" i="47540"/>
  <c r="B1082" i="47540"/>
  <c r="B1039" i="47540"/>
  <c r="B996" i="47540"/>
  <c r="B954" i="47540"/>
  <c r="B911" i="47540"/>
  <c r="B868" i="47540"/>
  <c r="B826" i="47540"/>
  <c r="B783" i="47540"/>
  <c r="B740" i="47540"/>
  <c r="B698" i="47540"/>
  <c r="B655" i="47540"/>
  <c r="B612" i="47540"/>
  <c r="B570" i="47540"/>
  <c r="B527" i="47540"/>
  <c r="B484" i="47540"/>
  <c r="B442" i="47540"/>
  <c r="B406" i="47540"/>
  <c r="B374" i="47540"/>
  <c r="B342" i="47540"/>
  <c r="B1392" i="47540"/>
  <c r="B1307" i="47540"/>
  <c r="B1222" i="47540"/>
  <c r="B1136" i="47540"/>
  <c r="B1051" i="47540"/>
  <c r="B966" i="47540"/>
  <c r="B880" i="47540"/>
  <c r="B795" i="47540"/>
  <c r="B710" i="47540"/>
  <c r="B624" i="47540"/>
  <c r="B539" i="47540"/>
  <c r="B454" i="47540"/>
  <c r="B383" i="47540"/>
  <c r="B323" i="47540"/>
  <c r="B280" i="47540"/>
  <c r="B238" i="47540"/>
  <c r="B195" i="47540"/>
  <c r="B152" i="47540"/>
  <c r="B110" i="47540"/>
  <c r="B67" i="47540"/>
  <c r="B24" i="47540"/>
  <c r="B1394" i="47540"/>
  <c r="B1308" i="47540"/>
  <c r="B1223" i="47540"/>
  <c r="B1138" i="47540"/>
  <c r="B1095" i="47540"/>
  <c r="B1052" i="47540"/>
  <c r="B1010" i="47540"/>
  <c r="B967" i="47540"/>
  <c r="B924" i="47540"/>
  <c r="B882" i="47540"/>
  <c r="B839" i="47540"/>
  <c r="B796" i="47540"/>
  <c r="B754" i="47540"/>
  <c r="B711" i="47540"/>
  <c r="B668" i="47540"/>
  <c r="B626" i="47540"/>
  <c r="B583" i="47540"/>
  <c r="B540" i="47540"/>
  <c r="B498" i="47540"/>
  <c r="B455" i="47540"/>
  <c r="B416" i="47540"/>
  <c r="B384" i="47540"/>
  <c r="B352" i="47540"/>
  <c r="B324" i="47540"/>
  <c r="B303" i="47540"/>
  <c r="B282" i="47540"/>
  <c r="B260" i="47540"/>
  <c r="B239" i="47540"/>
  <c r="B218" i="47540"/>
  <c r="B196" i="47540"/>
  <c r="B175" i="47540"/>
  <c r="B154" i="47540"/>
  <c r="B132" i="47540"/>
  <c r="B111" i="47540"/>
  <c r="B90" i="47540"/>
  <c r="B68" i="47540"/>
  <c r="B47" i="47540"/>
  <c r="B26" i="47540"/>
  <c r="B1440" i="47540"/>
  <c r="B1398" i="47540"/>
  <c r="B1355" i="47540"/>
  <c r="B1312" i="47540"/>
  <c r="B1270" i="47540"/>
  <c r="B1227" i="47540"/>
  <c r="B1184" i="47540"/>
  <c r="B1142" i="47540"/>
  <c r="B1099" i="47540"/>
  <c r="B1056" i="47540"/>
  <c r="B1014" i="47540"/>
  <c r="B971" i="47540"/>
  <c r="B928" i="47540"/>
  <c r="B886" i="47540"/>
  <c r="B843" i="47540"/>
  <c r="B800" i="47540"/>
  <c r="B758" i="47540"/>
  <c r="B715" i="47540"/>
  <c r="B672" i="47540"/>
  <c r="B630" i="47540"/>
  <c r="B587" i="47540"/>
  <c r="B544" i="47540"/>
  <c r="B502" i="47540"/>
  <c r="B459" i="47540"/>
  <c r="B419" i="47540"/>
  <c r="B387" i="47540"/>
  <c r="B355" i="47540"/>
  <c r="B326" i="47540"/>
  <c r="B304" i="47540"/>
  <c r="B283" i="47540"/>
  <c r="B262" i="47540"/>
  <c r="B240" i="47540"/>
  <c r="B219" i="47540"/>
  <c r="B198" i="47540"/>
  <c r="B176" i="47540"/>
  <c r="B155" i="47540"/>
  <c r="B134" i="47540"/>
  <c r="B112" i="47540"/>
  <c r="B91" i="47540"/>
  <c r="B70" i="47540"/>
  <c r="B48" i="47540"/>
  <c r="B27" i="47540"/>
  <c r="B1442" i="47540"/>
  <c r="B1399" i="47540"/>
  <c r="B1356" i="47540"/>
  <c r="B1314" i="47540"/>
  <c r="B1271" i="47540"/>
  <c r="B1228" i="47540"/>
  <c r="B1186" i="47540"/>
  <c r="B1143" i="47540"/>
  <c r="B1100" i="47540"/>
  <c r="B1058" i="47540"/>
  <c r="B1015" i="47540"/>
  <c r="B972" i="47540"/>
  <c r="B930" i="47540"/>
  <c r="B887" i="47540"/>
  <c r="B844" i="47540"/>
  <c r="B802" i="47540"/>
  <c r="B759" i="47540"/>
  <c r="B716" i="47540"/>
  <c r="B674" i="47540"/>
  <c r="B631" i="47540"/>
  <c r="B588" i="47540"/>
  <c r="B546" i="47540"/>
  <c r="B503" i="47540"/>
  <c r="B460" i="47540"/>
  <c r="B420" i="47540"/>
  <c r="B388" i="47540"/>
  <c r="B356" i="47540"/>
  <c r="B327" i="47540"/>
  <c r="B306" i="47540"/>
  <c r="B284" i="47540"/>
  <c r="B263" i="47540"/>
  <c r="B242" i="47540"/>
  <c r="B220" i="47540"/>
  <c r="B199" i="47540"/>
  <c r="B178" i="47540"/>
  <c r="B156" i="47540"/>
  <c r="B135" i="47540"/>
  <c r="B114" i="47540"/>
  <c r="B92" i="47540"/>
  <c r="B71" i="47540"/>
  <c r="B50" i="47540"/>
  <c r="B28" i="47540"/>
  <c r="B1421" i="47540"/>
  <c r="B1389" i="47540"/>
  <c r="B1357" i="47540"/>
  <c r="B1325" i="47540"/>
  <c r="B1293" i="47540"/>
  <c r="B1261" i="47540"/>
  <c r="B1229" i="47540"/>
  <c r="B1197" i="47540"/>
  <c r="B1165" i="47540"/>
  <c r="B1133" i="47540"/>
  <c r="B1101" i="47540"/>
  <c r="B1069" i="47540"/>
  <c r="B1037" i="47540"/>
  <c r="B1005" i="47540"/>
  <c r="B973" i="47540"/>
  <c r="B941" i="47540"/>
  <c r="B909" i="47540"/>
  <c r="B877" i="47540"/>
  <c r="B845" i="47540"/>
  <c r="B813" i="47540"/>
  <c r="B781" i="47540"/>
  <c r="B749" i="47540"/>
  <c r="B717" i="47540"/>
  <c r="B685" i="47540"/>
  <c r="B653" i="47540"/>
  <c r="B621" i="47540"/>
  <c r="B589" i="47540"/>
  <c r="B557" i="47540"/>
  <c r="B525" i="47540"/>
  <c r="B493" i="47540"/>
  <c r="B461" i="47540"/>
  <c r="B429" i="47540"/>
  <c r="B1411" i="47540"/>
  <c r="B1368" i="47540"/>
  <c r="B1326" i="47540"/>
  <c r="B1283" i="47540"/>
  <c r="B1240" i="47540"/>
  <c r="B1198" i="47540"/>
  <c r="B1155" i="47540"/>
  <c r="B1112" i="47540"/>
  <c r="B1070" i="47540"/>
  <c r="B1027" i="47540"/>
  <c r="B984" i="47540"/>
  <c r="B942" i="47540"/>
  <c r="B899" i="47540"/>
  <c r="B856" i="47540"/>
  <c r="B814" i="47540"/>
  <c r="B771" i="47540"/>
  <c r="B728" i="47540"/>
  <c r="B686" i="47540"/>
  <c r="B643" i="47540"/>
  <c r="B600" i="47540"/>
  <c r="B558" i="47540"/>
  <c r="B515" i="47540"/>
  <c r="B472" i="47540"/>
  <c r="B430" i="47540"/>
  <c r="B397" i="47540"/>
  <c r="B365" i="47540"/>
  <c r="B333" i="47540"/>
  <c r="B301" i="47540"/>
  <c r="B269" i="47540"/>
  <c r="B237" i="47540"/>
  <c r="B205" i="47540"/>
  <c r="B173" i="47540"/>
  <c r="B141" i="47540"/>
  <c r="B109" i="47540"/>
  <c r="B77" i="47540"/>
  <c r="B45" i="47540"/>
  <c r="B13" i="47540"/>
  <c r="B1412" i="47540"/>
  <c r="B1370" i="47540"/>
  <c r="B1327" i="47540"/>
  <c r="B1284" i="47540"/>
  <c r="B1242" i="47540"/>
  <c r="B1199" i="47540"/>
  <c r="B1156" i="47540"/>
  <c r="B1114" i="47540"/>
  <c r="B1071" i="47540"/>
  <c r="B1028" i="47540"/>
  <c r="B986" i="47540"/>
  <c r="B943" i="47540"/>
  <c r="B900" i="47540"/>
  <c r="B858" i="47540"/>
  <c r="B815" i="47540"/>
  <c r="B772" i="47540"/>
  <c r="B730" i="47540"/>
  <c r="B687" i="47540"/>
  <c r="B644" i="47540"/>
  <c r="B602" i="47540"/>
  <c r="B559" i="47540"/>
  <c r="B516" i="47540"/>
  <c r="B474" i="47540"/>
  <c r="B431" i="47540"/>
  <c r="B398" i="47540"/>
  <c r="B366" i="47540"/>
  <c r="B334" i="47540"/>
  <c r="B1371" i="47540"/>
  <c r="B1286" i="47540"/>
  <c r="B1200" i="47540"/>
  <c r="B1115" i="47540"/>
  <c r="B1030" i="47540"/>
  <c r="B944" i="47540"/>
  <c r="B859" i="47540"/>
  <c r="B774" i="47540"/>
  <c r="B688" i="47540"/>
  <c r="B603" i="47540"/>
  <c r="B518" i="47540"/>
  <c r="B432" i="47540"/>
  <c r="B367" i="47540"/>
  <c r="B312" i="47540"/>
  <c r="B270" i="47540"/>
  <c r="B227" i="47540"/>
  <c r="B184" i="47540"/>
  <c r="B142" i="47540"/>
  <c r="B99" i="47540"/>
  <c r="B56" i="47540"/>
  <c r="B14" i="47540"/>
  <c r="B1372" i="47540"/>
  <c r="B1287" i="47540"/>
  <c r="B1202" i="47540"/>
  <c r="B1127" i="47540"/>
  <c r="B1084" i="47540"/>
  <c r="B1042" i="47540"/>
  <c r="B999" i="47540"/>
  <c r="B956" i="47540"/>
  <c r="B914" i="47540"/>
  <c r="B871" i="47540"/>
  <c r="B828" i="47540"/>
  <c r="B786" i="47540"/>
  <c r="B743" i="47540"/>
  <c r="B700" i="47540"/>
  <c r="B658" i="47540"/>
  <c r="B615" i="47540"/>
  <c r="B572" i="47540"/>
  <c r="B530" i="47540"/>
  <c r="B487" i="47540"/>
  <c r="B444" i="47540"/>
  <c r="B408" i="47540"/>
  <c r="B376" i="47540"/>
  <c r="B344" i="47540"/>
  <c r="B319" i="47540"/>
  <c r="B298" i="47540"/>
  <c r="B276" i="47540"/>
  <c r="B255" i="47540"/>
  <c r="B234" i="47540"/>
  <c r="B212" i="47540"/>
  <c r="B191" i="47540"/>
  <c r="B170" i="47540"/>
  <c r="B148" i="47540"/>
  <c r="B127" i="47540"/>
  <c r="B106" i="47540"/>
  <c r="B84" i="47540"/>
  <c r="B63" i="47540"/>
  <c r="B42" i="47540"/>
  <c r="B20" i="47540"/>
  <c r="B1430" i="47540"/>
  <c r="B1387" i="47540"/>
  <c r="B1344" i="47540"/>
  <c r="B1302" i="47540"/>
  <c r="B1259" i="47540"/>
  <c r="B1216" i="47540"/>
  <c r="B1174" i="47540"/>
  <c r="B1131" i="47540"/>
  <c r="B1088" i="47540"/>
  <c r="B1046" i="47540"/>
  <c r="B1003" i="47540"/>
  <c r="B960" i="47540"/>
  <c r="B918" i="47540"/>
  <c r="B875" i="47540"/>
  <c r="B832" i="47540"/>
  <c r="B790" i="47540"/>
  <c r="B747" i="47540"/>
  <c r="B704" i="47540"/>
  <c r="B662" i="47540"/>
  <c r="B619" i="47540"/>
  <c r="B576" i="47540"/>
  <c r="B534" i="47540"/>
  <c r="B491" i="47540"/>
  <c r="B448" i="47540"/>
  <c r="B411" i="47540"/>
  <c r="B379" i="47540"/>
  <c r="B347" i="47540"/>
  <c r="B320" i="47540"/>
  <c r="B299" i="47540"/>
  <c r="B278" i="47540"/>
  <c r="B256" i="47540"/>
  <c r="B235" i="47540"/>
  <c r="B214" i="47540"/>
  <c r="B192" i="47540"/>
  <c r="B171" i="47540"/>
  <c r="B150" i="47540"/>
  <c r="B128" i="47540"/>
  <c r="B107" i="47540"/>
  <c r="B86" i="47540"/>
  <c r="B64" i="47540"/>
  <c r="B43" i="47540"/>
  <c r="B22" i="47540"/>
  <c r="B1431" i="47540"/>
  <c r="B1388" i="47540"/>
  <c r="B1346" i="47540"/>
  <c r="B1303" i="47540"/>
  <c r="B1260" i="47540"/>
  <c r="B1218" i="47540"/>
  <c r="B1175" i="47540"/>
  <c r="B1132" i="47540"/>
  <c r="B1090" i="47540"/>
  <c r="B1047" i="47540"/>
  <c r="B1004" i="47540"/>
  <c r="B962" i="47540"/>
  <c r="B919" i="47540"/>
  <c r="B876" i="47540"/>
  <c r="B834" i="47540"/>
  <c r="B791" i="47540"/>
  <c r="B748" i="47540"/>
  <c r="B706" i="47540"/>
  <c r="B663" i="47540"/>
  <c r="B620" i="47540"/>
  <c r="B578" i="47540"/>
  <c r="B535" i="47540"/>
  <c r="B492" i="47540"/>
  <c r="B450" i="47540"/>
  <c r="B412" i="47540"/>
  <c r="B380" i="47540"/>
  <c r="B348" i="47540"/>
  <c r="B322" i="47540"/>
  <c r="B300" i="47540"/>
  <c r="B279" i="47540"/>
  <c r="B258" i="47540"/>
  <c r="B236" i="47540"/>
  <c r="B215" i="47540"/>
  <c r="B194" i="47540"/>
  <c r="B172" i="47540"/>
  <c r="B151" i="47540"/>
  <c r="B130" i="47540"/>
  <c r="B108" i="47540"/>
  <c r="B87" i="47540"/>
  <c r="B66" i="47540"/>
  <c r="B44" i="47540"/>
  <c r="B23" i="47540"/>
  <c r="B1437" i="47540"/>
  <c r="B1309" i="47540"/>
  <c r="B1181" i="47540"/>
  <c r="B1053" i="47540"/>
  <c r="B925" i="47540"/>
  <c r="B797" i="47540"/>
  <c r="B669" i="47540"/>
  <c r="B541" i="47540"/>
  <c r="B1432" i="47540"/>
  <c r="B1262" i="47540"/>
  <c r="B1091" i="47540"/>
  <c r="B920" i="47540"/>
  <c r="B750" i="47540"/>
  <c r="B579" i="47540"/>
  <c r="B413" i="47540"/>
  <c r="B285" i="47540"/>
  <c r="B157" i="47540"/>
  <c r="B29" i="47540"/>
  <c r="B1306" i="47540"/>
  <c r="B1135" i="47540"/>
  <c r="B964" i="47540"/>
  <c r="B794" i="47540"/>
  <c r="B623" i="47540"/>
  <c r="B452" i="47540"/>
  <c r="B1414" i="47540"/>
  <c r="B1072" i="47540"/>
  <c r="B731" i="47540"/>
  <c r="B399" i="47540"/>
  <c r="B206" i="47540"/>
  <c r="B35" i="47540"/>
  <c r="B1159" i="47540"/>
  <c r="B978" i="47540"/>
  <c r="B807" i="47540"/>
  <c r="B636" i="47540"/>
  <c r="B466" i="47540"/>
  <c r="B330" i="47540"/>
  <c r="B244" i="47540"/>
  <c r="B159" i="47540"/>
  <c r="B74" i="47540"/>
  <c r="B1408" i="47540"/>
  <c r="B1238" i="47540"/>
  <c r="B1067" i="47540"/>
  <c r="B896" i="47540"/>
  <c r="B726" i="47540"/>
  <c r="B555" i="47540"/>
  <c r="B395" i="47540"/>
  <c r="B288" i="47540"/>
  <c r="B203" i="47540"/>
  <c r="B118" i="47540"/>
  <c r="B32" i="47540"/>
  <c r="B1324" i="47540"/>
  <c r="B1154" i="47540"/>
  <c r="B983" i="47540"/>
  <c r="B812" i="47540"/>
  <c r="B642" i="47540"/>
  <c r="B471" i="47540"/>
  <c r="B332" i="47540"/>
  <c r="B247" i="47540"/>
  <c r="B162" i="47540"/>
  <c r="B76" i="47540"/>
  <c r="B125" i="47540"/>
  <c r="B1405" i="47540"/>
  <c r="B1277" i="47540"/>
  <c r="B1149" i="47540"/>
  <c r="B1021" i="47540"/>
  <c r="B893" i="47540"/>
  <c r="B765" i="47540"/>
  <c r="B637" i="47540"/>
  <c r="B509" i="47540"/>
  <c r="B1390" i="47540"/>
  <c r="B1219" i="47540"/>
  <c r="B1048" i="47540"/>
  <c r="B878" i="47540"/>
  <c r="B707" i="47540"/>
  <c r="B536" i="47540"/>
  <c r="B381" i="47540"/>
  <c r="B253" i="47540"/>
  <c r="B1434" i="47540"/>
  <c r="B1263" i="47540"/>
  <c r="B1092" i="47540"/>
  <c r="B922" i="47540"/>
  <c r="B751" i="47540"/>
  <c r="B580" i="47540"/>
  <c r="B414" i="47540"/>
  <c r="B1328" i="47540"/>
  <c r="B987" i="47540"/>
  <c r="B646" i="47540"/>
  <c r="B335" i="47540"/>
  <c r="B163" i="47540"/>
  <c r="B1415" i="47540"/>
  <c r="B1106" i="47540"/>
  <c r="B935" i="47540"/>
  <c r="B764" i="47540"/>
  <c r="B594" i="47540"/>
  <c r="B424" i="47540"/>
  <c r="B308" i="47540"/>
  <c r="B223" i="47540"/>
  <c r="B138" i="47540"/>
  <c r="B52" i="47540"/>
  <c r="B1366" i="47540"/>
  <c r="B1195" i="47540"/>
  <c r="B1024" i="47540"/>
  <c r="B854" i="47540"/>
  <c r="B683" i="47540"/>
  <c r="B512" i="47540"/>
  <c r="B363" i="47540"/>
  <c r="B267" i="47540"/>
  <c r="B182" i="47540"/>
  <c r="B96" i="47540"/>
  <c r="B1452" i="47540"/>
  <c r="B1282" i="47540"/>
  <c r="B1111" i="47540"/>
  <c r="B940" i="47540"/>
  <c r="B770" i="47540"/>
  <c r="B599" i="47540"/>
  <c r="B428" i="47540"/>
  <c r="B311" i="47540"/>
  <c r="B226" i="47540"/>
  <c r="B140" i="47540"/>
  <c r="B55" i="47540"/>
  <c r="B1373" i="47540"/>
  <c r="B1341" i="47540"/>
  <c r="B1085" i="47540"/>
  <c r="B829" i="47540"/>
  <c r="B573" i="47540"/>
  <c r="B1304" i="47540"/>
  <c r="B963" i="47540"/>
  <c r="B622" i="47540"/>
  <c r="B317" i="47540"/>
  <c r="B61" i="47540"/>
  <c r="B1178" i="47540"/>
  <c r="B836" i="47540"/>
  <c r="B495" i="47540"/>
  <c r="B1158" i="47540"/>
  <c r="B475" i="47540"/>
  <c r="B78" i="47540"/>
  <c r="B1020" i="47540"/>
  <c r="B679" i="47540"/>
  <c r="B360" i="47540"/>
  <c r="B180" i="47540"/>
  <c r="B1451" i="47540"/>
  <c r="B1110" i="47540"/>
  <c r="B768" i="47540"/>
  <c r="B427" i="47540"/>
  <c r="B224" i="47540"/>
  <c r="B54" i="47540"/>
  <c r="B1196" i="47540"/>
  <c r="B855" i="47540"/>
  <c r="B514" i="47540"/>
  <c r="B268" i="47540"/>
  <c r="B98" i="47540"/>
  <c r="B1213" i="47540"/>
  <c r="B957" i="47540"/>
  <c r="B701" i="47540"/>
  <c r="B445" i="47540"/>
  <c r="B1134" i="47540"/>
  <c r="B792" i="47540"/>
  <c r="B451" i="47540"/>
  <c r="B189" i="47540"/>
  <c r="B1348" i="47540"/>
  <c r="B1007" i="47540"/>
  <c r="B666" i="47540"/>
  <c r="B350" i="47540"/>
  <c r="B816" i="47540"/>
  <c r="B248" i="47540"/>
  <c r="B1244" i="47540"/>
  <c r="B850" i="47540"/>
  <c r="B508" i="47540"/>
  <c r="B266" i="47540"/>
  <c r="B95" i="47540"/>
  <c r="B1280" i="47540"/>
  <c r="B939" i="47540"/>
  <c r="B598" i="47540"/>
  <c r="B310" i="47540"/>
  <c r="B139" i="47540"/>
  <c r="B1367" i="47540"/>
  <c r="B1026" i="47540"/>
  <c r="B684" i="47540"/>
  <c r="B364" i="47540"/>
  <c r="B183" i="47540"/>
  <c r="B1117" i="47540"/>
  <c r="B861" i="47540"/>
  <c r="B605" i="47540"/>
  <c r="B1347" i="47540"/>
  <c r="B1006" i="47540"/>
  <c r="B664" i="47540"/>
  <c r="B349" i="47540"/>
  <c r="B93" i="47540"/>
  <c r="B1220" i="47540"/>
  <c r="B879" i="47540"/>
  <c r="B538" i="47540"/>
  <c r="B1243" i="47540"/>
  <c r="B560" i="47540"/>
  <c r="B120" i="47540"/>
  <c r="B1063" i="47540"/>
  <c r="B722" i="47540"/>
  <c r="B392" i="47540"/>
  <c r="B202" i="47540"/>
  <c r="B31" i="47540"/>
  <c r="B1152" i="47540"/>
  <c r="B811" i="47540"/>
  <c r="B470" i="47540"/>
  <c r="B246" i="47540"/>
  <c r="B75" i="47540"/>
  <c r="B1239" i="47540"/>
  <c r="B898" i="47540"/>
  <c r="B556" i="47540"/>
  <c r="B290" i="47540"/>
  <c r="B119" i="47540"/>
  <c r="B1245" i="47540"/>
  <c r="B989" i="47540"/>
  <c r="B733" i="47540"/>
  <c r="B477" i="47540"/>
  <c r="B1176" i="47540"/>
  <c r="B835" i="47540"/>
  <c r="B494" i="47540"/>
  <c r="B221" i="47540"/>
  <c r="B1391" i="47540"/>
  <c r="B1050" i="47540"/>
  <c r="B708" i="47540"/>
  <c r="B382" i="47540"/>
  <c r="B902" i="47540"/>
  <c r="B291" i="47540"/>
  <c r="B1330" i="47540"/>
  <c r="B892" i="47540"/>
  <c r="B551" i="47540"/>
  <c r="B287" i="47540"/>
  <c r="B116" i="47540"/>
  <c r="B1323" i="47540"/>
  <c r="B982" i="47540"/>
  <c r="B640" i="47540"/>
  <c r="B331" i="47540"/>
  <c r="B160" i="47540"/>
  <c r="B1410" i="47540"/>
  <c r="B1068" i="47540"/>
  <c r="B727" i="47540"/>
  <c r="B396" i="47540"/>
  <c r="B204" i="47540"/>
  <c r="B34" i="47540"/>
  <c r="I23" i="47540"/>
  <c r="I39" i="47540"/>
  <c r="I55" i="47540"/>
  <c r="I71" i="47540"/>
  <c r="I87" i="47540"/>
  <c r="I103" i="47540"/>
  <c r="I119" i="47540"/>
  <c r="I135" i="47540"/>
  <c r="I151" i="47540"/>
  <c r="I167" i="47540"/>
  <c r="I183" i="47540"/>
  <c r="I199" i="47540"/>
  <c r="I215" i="47540"/>
  <c r="I231" i="47540"/>
  <c r="I247" i="47540"/>
  <c r="I263" i="47540"/>
  <c r="I279" i="47540"/>
  <c r="I295" i="47540"/>
  <c r="I311" i="47540"/>
  <c r="I327" i="47540"/>
  <c r="I343" i="47540"/>
  <c r="I359" i="47540"/>
  <c r="I375" i="47540"/>
  <c r="I391" i="47540"/>
  <c r="I407" i="47540"/>
  <c r="I423" i="47540"/>
  <c r="I439" i="47540"/>
  <c r="I455" i="47540"/>
  <c r="I471" i="47540"/>
  <c r="I487" i="47540"/>
  <c r="I503" i="47540"/>
  <c r="I519" i="47540"/>
  <c r="I535" i="47540"/>
  <c r="I551" i="47540"/>
  <c r="I567" i="47540"/>
  <c r="I583" i="47540"/>
  <c r="I599" i="47540"/>
  <c r="I615" i="47540"/>
  <c r="I631" i="47540"/>
  <c r="I647" i="47540"/>
  <c r="I663" i="47540"/>
  <c r="I679" i="47540"/>
  <c r="I695" i="47540"/>
  <c r="I711" i="47540"/>
  <c r="I727" i="47540"/>
  <c r="I743" i="47540"/>
  <c r="I759" i="47540"/>
  <c r="I775" i="47540"/>
  <c r="I791" i="47540"/>
  <c r="I807" i="47540"/>
  <c r="I823" i="47540"/>
  <c r="I839" i="47540"/>
  <c r="I855" i="47540"/>
  <c r="I871" i="47540"/>
  <c r="I887" i="47540"/>
  <c r="I903" i="47540"/>
  <c r="I919" i="47540"/>
  <c r="I935" i="47540"/>
  <c r="I951" i="47540"/>
  <c r="I967" i="47540"/>
  <c r="I983" i="47540"/>
  <c r="I999" i="47540"/>
  <c r="I1015" i="47540"/>
  <c r="I1031" i="47540"/>
  <c r="I22" i="47540"/>
  <c r="I38" i="47540"/>
  <c r="I54" i="47540"/>
  <c r="I70" i="47540"/>
  <c r="I86" i="47540"/>
  <c r="I102" i="47540"/>
  <c r="I118" i="47540"/>
  <c r="I134" i="47540"/>
  <c r="I150" i="47540"/>
  <c r="I166" i="47540"/>
  <c r="I182" i="47540"/>
  <c r="I198" i="47540"/>
  <c r="I214" i="47540"/>
  <c r="I230" i="47540"/>
  <c r="I246" i="47540"/>
  <c r="I262" i="47540"/>
  <c r="I278" i="47540"/>
  <c r="I294" i="47540"/>
  <c r="I310" i="47540"/>
  <c r="I326" i="47540"/>
  <c r="I342" i="47540"/>
  <c r="I27" i="47540"/>
  <c r="I47" i="47540"/>
  <c r="I67" i="47540"/>
  <c r="I91" i="47540"/>
  <c r="I111" i="47540"/>
  <c r="I131" i="47540"/>
  <c r="I155" i="47540"/>
  <c r="I175" i="47540"/>
  <c r="I195" i="47540"/>
  <c r="I219" i="47540"/>
  <c r="I239" i="47540"/>
  <c r="I259" i="47540"/>
  <c r="I283" i="47540"/>
  <c r="I303" i="47540"/>
  <c r="I323" i="47540"/>
  <c r="I347" i="47540"/>
  <c r="I367" i="47540"/>
  <c r="I387" i="47540"/>
  <c r="I411" i="47540"/>
  <c r="I431" i="47540"/>
  <c r="I451" i="47540"/>
  <c r="I475" i="47540"/>
  <c r="I495" i="47540"/>
  <c r="I515" i="47540"/>
  <c r="I539" i="47540"/>
  <c r="I559" i="47540"/>
  <c r="I579" i="47540"/>
  <c r="I603" i="47540"/>
  <c r="I623" i="47540"/>
  <c r="I643" i="47540"/>
  <c r="I667" i="47540"/>
  <c r="I687" i="47540"/>
  <c r="I707" i="47540"/>
  <c r="I731" i="47540"/>
  <c r="I751" i="47540"/>
  <c r="I771" i="47540"/>
  <c r="I795" i="47540"/>
  <c r="I815" i="47540"/>
  <c r="I835" i="47540"/>
  <c r="I859" i="47540"/>
  <c r="I879" i="47540"/>
  <c r="I899" i="47540"/>
  <c r="I923" i="47540"/>
  <c r="I943" i="47540"/>
  <c r="I963" i="47540"/>
  <c r="I987" i="47540"/>
  <c r="I1007" i="47540"/>
  <c r="I1027" i="47540"/>
  <c r="I26" i="47540"/>
  <c r="I46" i="47540"/>
  <c r="I66" i="47540"/>
  <c r="I90" i="47540"/>
  <c r="I110" i="47540"/>
  <c r="I130" i="47540"/>
  <c r="I154" i="47540"/>
  <c r="I174" i="47540"/>
  <c r="I194" i="47540"/>
  <c r="I218" i="47540"/>
  <c r="I238" i="47540"/>
  <c r="I258" i="47540"/>
  <c r="I282" i="47540"/>
  <c r="I302" i="47540"/>
  <c r="I322" i="47540"/>
  <c r="I346" i="47540"/>
  <c r="I362" i="47540"/>
  <c r="I378" i="47540"/>
  <c r="I394" i="47540"/>
  <c r="I410" i="47540"/>
  <c r="I426" i="47540"/>
  <c r="I442" i="47540"/>
  <c r="I458" i="47540"/>
  <c r="I474" i="47540"/>
  <c r="I490" i="47540"/>
  <c r="I506" i="47540"/>
  <c r="I522" i="47540"/>
  <c r="I538" i="47540"/>
  <c r="I554" i="47540"/>
  <c r="I570" i="47540"/>
  <c r="I586" i="47540"/>
  <c r="I602" i="47540"/>
  <c r="I618" i="47540"/>
  <c r="I634" i="47540"/>
  <c r="I650" i="47540"/>
  <c r="I666" i="47540"/>
  <c r="I682" i="47540"/>
  <c r="I698" i="47540"/>
  <c r="I714" i="47540"/>
  <c r="I730" i="47540"/>
  <c r="I746" i="47540"/>
  <c r="I762" i="47540"/>
  <c r="I778" i="47540"/>
  <c r="I794" i="47540"/>
  <c r="I810" i="47540"/>
  <c r="I826" i="47540"/>
  <c r="I842" i="47540"/>
  <c r="I858" i="47540"/>
  <c r="I874" i="47540"/>
  <c r="I890" i="47540"/>
  <c r="I906" i="47540"/>
  <c r="I922" i="47540"/>
  <c r="I938" i="47540"/>
  <c r="I954" i="47540"/>
  <c r="I970" i="47540"/>
  <c r="I986" i="47540"/>
  <c r="I1002" i="47540"/>
  <c r="I1018" i="47540"/>
  <c r="I28" i="47540"/>
  <c r="I60" i="47540"/>
  <c r="I92" i="47540"/>
  <c r="I124" i="47540"/>
  <c r="I156" i="47540"/>
  <c r="I188" i="47540"/>
  <c r="I220" i="47540"/>
  <c r="I252" i="47540"/>
  <c r="I284" i="47540"/>
  <c r="I316" i="47540"/>
  <c r="I348" i="47540"/>
  <c r="I380" i="47540"/>
  <c r="I412" i="47540"/>
  <c r="I444" i="47540"/>
  <c r="I476" i="47540"/>
  <c r="I508" i="47540"/>
  <c r="I540" i="47540"/>
  <c r="I572" i="47540"/>
  <c r="I604" i="47540"/>
  <c r="I636" i="47540"/>
  <c r="I668" i="47540"/>
  <c r="I700" i="47540"/>
  <c r="I732" i="47540"/>
  <c r="I764" i="47540"/>
  <c r="I796" i="47540"/>
  <c r="I828" i="47540"/>
  <c r="I860" i="47540"/>
  <c r="I892" i="47540"/>
  <c r="I924" i="47540"/>
  <c r="I956" i="47540"/>
  <c r="I988" i="47540"/>
  <c r="I1020" i="47540"/>
  <c r="I1042" i="47540"/>
  <c r="I1058" i="47540"/>
  <c r="I1074" i="47540"/>
  <c r="I1090" i="47540"/>
  <c r="I1106" i="47540"/>
  <c r="I1122" i="47540"/>
  <c r="I1138" i="47540"/>
  <c r="I1154" i="47540"/>
  <c r="I1170" i="47540"/>
  <c r="I1186" i="47540"/>
  <c r="I1202" i="47540"/>
  <c r="I1218" i="47540"/>
  <c r="I1234" i="47540"/>
  <c r="I1250" i="47540"/>
  <c r="I1266" i="47540"/>
  <c r="I1282" i="47540"/>
  <c r="I1298" i="47540"/>
  <c r="I1314" i="47540"/>
  <c r="I1330" i="47540"/>
  <c r="I1346" i="47540"/>
  <c r="I1362" i="47540"/>
  <c r="I1378" i="47540"/>
  <c r="I1394" i="47540"/>
  <c r="I1410" i="47540"/>
  <c r="I1426" i="47540"/>
  <c r="I1442" i="47540"/>
  <c r="I25" i="47540"/>
  <c r="I57" i="47540"/>
  <c r="I89" i="47540"/>
  <c r="I121" i="47540"/>
  <c r="I153" i="47540"/>
  <c r="I185" i="47540"/>
  <c r="I31" i="47540"/>
  <c r="I59" i="47540"/>
  <c r="I83" i="47540"/>
  <c r="I115" i="47540"/>
  <c r="I143" i="47540"/>
  <c r="I171" i="47540"/>
  <c r="I203" i="47540"/>
  <c r="I227" i="47540"/>
  <c r="I255" i="47540"/>
  <c r="I287" i="47540"/>
  <c r="I315" i="47540"/>
  <c r="I339" i="47540"/>
  <c r="I371" i="47540"/>
  <c r="I399" i="47540"/>
  <c r="I427" i="47540"/>
  <c r="I459" i="47540"/>
  <c r="I483" i="47540"/>
  <c r="I511" i="47540"/>
  <c r="I543" i="47540"/>
  <c r="I571" i="47540"/>
  <c r="I595" i="47540"/>
  <c r="I627" i="47540"/>
  <c r="I655" i="47540"/>
  <c r="I683" i="47540"/>
  <c r="I715" i="47540"/>
  <c r="I739" i="47540"/>
  <c r="I767" i="47540"/>
  <c r="I799" i="47540"/>
  <c r="I827" i="47540"/>
  <c r="I851" i="47540"/>
  <c r="I883" i="47540"/>
  <c r="I911" i="47540"/>
  <c r="I939" i="47540"/>
  <c r="I971" i="47540"/>
  <c r="I995" i="47540"/>
  <c r="I1023" i="47540"/>
  <c r="I30" i="47540"/>
  <c r="I58" i="47540"/>
  <c r="I82" i="47540"/>
  <c r="I114" i="47540"/>
  <c r="I142" i="47540"/>
  <c r="I170" i="47540"/>
  <c r="I202" i="47540"/>
  <c r="I226" i="47540"/>
  <c r="I254" i="47540"/>
  <c r="I286" i="47540"/>
  <c r="I314" i="47540"/>
  <c r="I338" i="47540"/>
  <c r="I366" i="47540"/>
  <c r="I386" i="47540"/>
  <c r="I406" i="47540"/>
  <c r="I430" i="47540"/>
  <c r="I450" i="47540"/>
  <c r="I470" i="47540"/>
  <c r="I494" i="47540"/>
  <c r="I514" i="47540"/>
  <c r="I534" i="47540"/>
  <c r="I558" i="47540"/>
  <c r="I578" i="47540"/>
  <c r="I598" i="47540"/>
  <c r="I622" i="47540"/>
  <c r="I642" i="47540"/>
  <c r="I662" i="47540"/>
  <c r="I686" i="47540"/>
  <c r="I706" i="47540"/>
  <c r="I726" i="47540"/>
  <c r="I750" i="47540"/>
  <c r="I770" i="47540"/>
  <c r="I790" i="47540"/>
  <c r="I814" i="47540"/>
  <c r="I834" i="47540"/>
  <c r="I854" i="47540"/>
  <c r="I878" i="47540"/>
  <c r="I898" i="47540"/>
  <c r="I918" i="47540"/>
  <c r="I942" i="47540"/>
  <c r="I962" i="47540"/>
  <c r="I982" i="47540"/>
  <c r="I1006" i="47540"/>
  <c r="I1026" i="47540"/>
  <c r="I52" i="47540"/>
  <c r="I100" i="47540"/>
  <c r="I140" i="47540"/>
  <c r="I180" i="47540"/>
  <c r="I228" i="47540"/>
  <c r="I268" i="47540"/>
  <c r="I308" i="47540"/>
  <c r="I356" i="47540"/>
  <c r="I396" i="47540"/>
  <c r="I436" i="47540"/>
  <c r="I484" i="47540"/>
  <c r="I524" i="47540"/>
  <c r="I564" i="47540"/>
  <c r="I612" i="47540"/>
  <c r="I652" i="47540"/>
  <c r="I692" i="47540"/>
  <c r="I740" i="47540"/>
  <c r="I780" i="47540"/>
  <c r="I820" i="47540"/>
  <c r="I868" i="47540"/>
  <c r="I908" i="47540"/>
  <c r="I948" i="47540"/>
  <c r="I996" i="47540"/>
  <c r="I1033" i="47540"/>
  <c r="I1054" i="47540"/>
  <c r="I1078" i="47540"/>
  <c r="I1098" i="47540"/>
  <c r="I1118" i="47540"/>
  <c r="I1142" i="47540"/>
  <c r="I1162" i="47540"/>
  <c r="I1182" i="47540"/>
  <c r="I1206" i="47540"/>
  <c r="I1226" i="47540"/>
  <c r="I1246" i="47540"/>
  <c r="I1270" i="47540"/>
  <c r="I1290" i="47540"/>
  <c r="I1310" i="47540"/>
  <c r="I1334" i="47540"/>
  <c r="I1354" i="47540"/>
  <c r="I1374" i="47540"/>
  <c r="I1398" i="47540"/>
  <c r="I1418" i="47540"/>
  <c r="I1438" i="47540"/>
  <c r="I33" i="47540"/>
  <c r="I73" i="47540"/>
  <c r="I113" i="47540"/>
  <c r="I161" i="47540"/>
  <c r="I24" i="47540"/>
  <c r="I88" i="47540"/>
  <c r="I152" i="47540"/>
  <c r="I209" i="47540"/>
  <c r="I253" i="47540"/>
  <c r="I296" i="47540"/>
  <c r="I337" i="47540"/>
  <c r="I381" i="47540"/>
  <c r="I424" i="47540"/>
  <c r="I465" i="47540"/>
  <c r="I509" i="47540"/>
  <c r="I552" i="47540"/>
  <c r="I593" i="47540"/>
  <c r="I637" i="47540"/>
  <c r="I689" i="47540"/>
  <c r="I733" i="47540"/>
  <c r="I776" i="47540"/>
  <c r="I861" i="47540"/>
  <c r="I1080" i="47540"/>
  <c r="I1219" i="47540"/>
  <c r="I1293" i="47540"/>
  <c r="I1347" i="47540"/>
  <c r="I1395" i="47540"/>
  <c r="I37" i="47540"/>
  <c r="I677" i="47540"/>
  <c r="I761" i="47540"/>
  <c r="I848" i="47540"/>
  <c r="I944" i="47540"/>
  <c r="I1029" i="47540"/>
  <c r="I1073" i="47540"/>
  <c r="I1116" i="47540"/>
  <c r="I1159" i="47540"/>
  <c r="I1201" i="47540"/>
  <c r="I1249" i="47540"/>
  <c r="I1292" i="47540"/>
  <c r="I1335" i="47540"/>
  <c r="I1377" i="47540"/>
  <c r="I1420" i="47540"/>
  <c r="I32" i="47540"/>
  <c r="I481" i="47540"/>
  <c r="I557" i="47540"/>
  <c r="I641" i="47540"/>
  <c r="I728" i="47540"/>
  <c r="I813" i="47540"/>
  <c r="I897" i="47540"/>
  <c r="I973" i="47540"/>
  <c r="I1051" i="47540"/>
  <c r="I1099" i="47540"/>
  <c r="I1141" i="47540"/>
  <c r="I1184" i="47540"/>
  <c r="I1227" i="47540"/>
  <c r="I1269" i="47540"/>
  <c r="I1317" i="47540"/>
  <c r="I1365" i="47540"/>
  <c r="I1408" i="47540"/>
  <c r="I13" i="47540"/>
  <c r="I77" i="47540"/>
  <c r="I141" i="47540"/>
  <c r="I201" i="47540"/>
  <c r="I245" i="47540"/>
  <c r="I288" i="47540"/>
  <c r="I329" i="47540"/>
  <c r="I373" i="47540"/>
  <c r="I416" i="47540"/>
  <c r="I457" i="47540"/>
  <c r="I501" i="47540"/>
  <c r="I544" i="47540"/>
  <c r="I585" i="47540"/>
  <c r="I629" i="47540"/>
  <c r="I672" i="47540"/>
  <c r="I713" i="47540"/>
  <c r="I757" i="47540"/>
  <c r="I800" i="47540"/>
  <c r="I841" i="47540"/>
  <c r="I885" i="47540"/>
  <c r="I928" i="47540"/>
  <c r="I969" i="47540"/>
  <c r="I1013" i="47540"/>
  <c r="I1044" i="47540"/>
  <c r="I1065" i="47540"/>
  <c r="I1087" i="47540"/>
  <c r="I1108" i="47540"/>
  <c r="I1129" i="47540"/>
  <c r="I1151" i="47540"/>
  <c r="I1172" i="47540"/>
  <c r="I1193" i="47540"/>
  <c r="I1215" i="47540"/>
  <c r="I1236" i="47540"/>
  <c r="I1257" i="47540"/>
  <c r="I1279" i="47540"/>
  <c r="I1300" i="47540"/>
  <c r="I1321" i="47540"/>
  <c r="I1343" i="47540"/>
  <c r="I1364" i="47540"/>
  <c r="I1385" i="47540"/>
  <c r="I1407" i="47540"/>
  <c r="I1428" i="47540"/>
  <c r="I1449" i="47540"/>
  <c r="I840" i="47540"/>
  <c r="I893" i="47540"/>
  <c r="I945" i="47540"/>
  <c r="I1000" i="47540"/>
  <c r="I1043" i="47540"/>
  <c r="I1064" i="47540"/>
  <c r="I1091" i="47540"/>
  <c r="I1112" i="47540"/>
  <c r="I1139" i="47540"/>
  <c r="I1165" i="47540"/>
  <c r="I1187" i="47540"/>
  <c r="I1213" i="47540"/>
  <c r="I1245" i="47540"/>
  <c r="I1272" i="47540"/>
  <c r="I1309" i="47540"/>
  <c r="I1341" i="47540"/>
  <c r="I1379" i="47540"/>
  <c r="I1416" i="47540"/>
  <c r="I1448" i="47540"/>
  <c r="I85" i="47540"/>
  <c r="I149" i="47540"/>
  <c r="I208" i="47540"/>
  <c r="I249" i="47540"/>
  <c r="I293" i="47540"/>
  <c r="I336" i="47540"/>
  <c r="I377" i="47540"/>
  <c r="I421" i="47540"/>
  <c r="I464" i="47540"/>
  <c r="I505" i="47540"/>
  <c r="I560" i="47540"/>
  <c r="I601" i="47540"/>
  <c r="I665" i="47540"/>
  <c r="I752" i="47540"/>
  <c r="I837" i="47540"/>
  <c r="I921" i="47540"/>
  <c r="I997" i="47540"/>
  <c r="I1057" i="47540"/>
  <c r="I1100" i="47540"/>
  <c r="I1143" i="47540"/>
  <c r="I1185" i="47540"/>
  <c r="I1228" i="47540"/>
  <c r="I1265" i="47540"/>
  <c r="I1308" i="47540"/>
  <c r="I1351" i="47540"/>
  <c r="I1388" i="47540"/>
  <c r="I1436" i="47540"/>
  <c r="I64" i="47540"/>
  <c r="I128" i="47540"/>
  <c r="I192" i="47540"/>
  <c r="I237" i="47540"/>
  <c r="I280" i="47540"/>
  <c r="I321" i="47540"/>
  <c r="I376" i="47540"/>
  <c r="I417" i="47540"/>
  <c r="I493" i="47540"/>
  <c r="I589" i="47540"/>
  <c r="I673" i="47540"/>
  <c r="I760" i="47540"/>
  <c r="I845" i="47540"/>
  <c r="I941" i="47540"/>
  <c r="I1016" i="47540"/>
  <c r="I1067" i="47540"/>
  <c r="I1104" i="47540"/>
  <c r="I1147" i="47540"/>
  <c r="I1189" i="47540"/>
  <c r="I1232" i="47540"/>
  <c r="I1275" i="47540"/>
  <c r="I1312" i="47540"/>
  <c r="I1355" i="47540"/>
  <c r="I1392" i="47540"/>
  <c r="I1435" i="47540"/>
  <c r="I35" i="47540"/>
  <c r="I75" i="47540"/>
  <c r="I107" i="47540"/>
  <c r="I147" i="47540"/>
  <c r="I187" i="47540"/>
  <c r="I223" i="47540"/>
  <c r="I267" i="47540"/>
  <c r="I299" i="47540"/>
  <c r="I335" i="47540"/>
  <c r="I379" i="47540"/>
  <c r="I415" i="47540"/>
  <c r="I447" i="47540"/>
  <c r="I491" i="47540"/>
  <c r="I527" i="47540"/>
  <c r="I563" i="47540"/>
  <c r="I607" i="47540"/>
  <c r="I639" i="47540"/>
  <c r="I675" i="47540"/>
  <c r="I719" i="47540"/>
  <c r="I755" i="47540"/>
  <c r="I787" i="47540"/>
  <c r="I831" i="47540"/>
  <c r="I867" i="47540"/>
  <c r="I907" i="47540"/>
  <c r="I947" i="47540"/>
  <c r="I979" i="47540"/>
  <c r="I1019" i="47540"/>
  <c r="I34" i="47540"/>
  <c r="I74" i="47540"/>
  <c r="I106" i="47540"/>
  <c r="I146" i="47540"/>
  <c r="I186" i="47540"/>
  <c r="I222" i="47540"/>
  <c r="I266" i="47540"/>
  <c r="I298" i="47540"/>
  <c r="I334" i="47540"/>
  <c r="I370" i="47540"/>
  <c r="I398" i="47540"/>
  <c r="I422" i="47540"/>
  <c r="I454" i="47540"/>
  <c r="I482" i="47540"/>
  <c r="I510" i="47540"/>
  <c r="I542" i="47540"/>
  <c r="I566" i="47540"/>
  <c r="I594" i="47540"/>
  <c r="I626" i="47540"/>
  <c r="I654" i="47540"/>
  <c r="I678" i="47540"/>
  <c r="I710" i="47540"/>
  <c r="I738" i="47540"/>
  <c r="I766" i="47540"/>
  <c r="I798" i="47540"/>
  <c r="I822" i="47540"/>
  <c r="I850" i="47540"/>
  <c r="I882" i="47540"/>
  <c r="I910" i="47540"/>
  <c r="I934" i="47540"/>
  <c r="I966" i="47540"/>
  <c r="I994" i="47540"/>
  <c r="I1022" i="47540"/>
  <c r="I68" i="47540"/>
  <c r="I116" i="47540"/>
  <c r="I172" i="47540"/>
  <c r="I236" i="47540"/>
  <c r="I292" i="47540"/>
  <c r="I340" i="47540"/>
  <c r="I404" i="47540"/>
  <c r="I460" i="47540"/>
  <c r="I516" i="47540"/>
  <c r="I580" i="47540"/>
  <c r="I628" i="47540"/>
  <c r="I684" i="47540"/>
  <c r="I748" i="47540"/>
  <c r="I804" i="47540"/>
  <c r="I852" i="47540"/>
  <c r="I916" i="47540"/>
  <c r="I972" i="47540"/>
  <c r="I1028" i="47540"/>
  <c r="I1062" i="47540"/>
  <c r="I1086" i="47540"/>
  <c r="I1114" i="47540"/>
  <c r="I1146" i="47540"/>
  <c r="I1174" i="47540"/>
  <c r="I1198" i="47540"/>
  <c r="I1230" i="47540"/>
  <c r="I1258" i="47540"/>
  <c r="I1286" i="47540"/>
  <c r="I1318" i="47540"/>
  <c r="I1342" i="47540"/>
  <c r="I1370" i="47540"/>
  <c r="I1402" i="47540"/>
  <c r="I1430" i="47540"/>
  <c r="I17" i="47540"/>
  <c r="I81" i="47540"/>
  <c r="I137" i="47540"/>
  <c r="I193" i="47540"/>
  <c r="I104" i="47540"/>
  <c r="I184" i="47540"/>
  <c r="I241" i="47540"/>
  <c r="I305" i="47540"/>
  <c r="I360" i="47540"/>
  <c r="I413" i="47540"/>
  <c r="I477" i="47540"/>
  <c r="I529" i="47540"/>
  <c r="I584" i="47540"/>
  <c r="I648" i="47540"/>
  <c r="I712" i="47540"/>
  <c r="I765" i="47540"/>
  <c r="I904" i="47540"/>
  <c r="I1160" i="47540"/>
  <c r="I1277" i="47540"/>
  <c r="I1357" i="47540"/>
  <c r="I1427" i="47540"/>
  <c r="I645" i="47540"/>
  <c r="I784" i="47540"/>
  <c r="I889" i="47540"/>
  <c r="I1008" i="47540"/>
  <c r="I1084" i="47540"/>
  <c r="I1137" i="47540"/>
  <c r="I1191" i="47540"/>
  <c r="I1260" i="47540"/>
  <c r="I1313" i="47540"/>
  <c r="I1367" i="47540"/>
  <c r="I1431" i="47540"/>
  <c r="I429" i="47540"/>
  <c r="I536" i="47540"/>
  <c r="I664" i="47540"/>
  <c r="I769" i="47540"/>
  <c r="I877" i="47540"/>
  <c r="I993" i="47540"/>
  <c r="I1077" i="47540"/>
  <c r="I1131" i="47540"/>
  <c r="I1195" i="47540"/>
  <c r="I1248" i="47540"/>
  <c r="I1301" i="47540"/>
  <c r="I1376" i="47540"/>
  <c r="I1429" i="47540"/>
  <c r="I61" i="47540"/>
  <c r="I157" i="47540"/>
  <c r="I224" i="47540"/>
  <c r="I277" i="47540"/>
  <c r="I341" i="47540"/>
  <c r="I393" i="47540"/>
  <c r="I448" i="47540"/>
  <c r="I512" i="47540"/>
  <c r="I565" i="47540"/>
  <c r="I617" i="47540"/>
  <c r="I681" i="47540"/>
  <c r="I736" i="47540"/>
  <c r="I789" i="47540"/>
  <c r="I853" i="47540"/>
  <c r="I905" i="47540"/>
  <c r="I960" i="47540"/>
  <c r="I1024" i="47540"/>
  <c r="I1055" i="47540"/>
  <c r="I1081" i="47540"/>
  <c r="I1113" i="47540"/>
  <c r="I1140" i="47540"/>
  <c r="I1167" i="47540"/>
  <c r="I1199" i="47540"/>
  <c r="I1225" i="47540"/>
  <c r="I1252" i="47540"/>
  <c r="I1284" i="47540"/>
  <c r="I1311" i="47540"/>
  <c r="I1337" i="47540"/>
  <c r="I1369" i="47540"/>
  <c r="I1396" i="47540"/>
  <c r="I1423" i="47540"/>
  <c r="I657" i="47540"/>
  <c r="I872" i="47540"/>
  <c r="I936" i="47540"/>
  <c r="I1009" i="47540"/>
  <c r="I1053" i="47540"/>
  <c r="I1085" i="47540"/>
  <c r="I1117" i="47540"/>
  <c r="I1149" i="47540"/>
  <c r="I1181" i="47540"/>
  <c r="I1224" i="47540"/>
  <c r="I1256" i="47540"/>
  <c r="I1299" i="47540"/>
  <c r="I1352" i="47540"/>
  <c r="I1400" i="47540"/>
  <c r="I1437" i="47540"/>
  <c r="I101" i="47540"/>
  <c r="I181" i="47540"/>
  <c r="I240" i="47540"/>
  <c r="I304" i="47540"/>
  <c r="I357" i="47540"/>
  <c r="I409" i="47540"/>
  <c r="I473" i="47540"/>
  <c r="I537" i="47540"/>
  <c r="I592" i="47540"/>
  <c r="I688" i="47540"/>
  <c r="I793" i="47540"/>
  <c r="I901" i="47540"/>
  <c r="I1017" i="47540"/>
  <c r="I1079" i="47540"/>
  <c r="I1132" i="47540"/>
  <c r="I1196" i="47540"/>
  <c r="I1244" i="47540"/>
  <c r="I1297" i="47540"/>
  <c r="I1361" i="47540"/>
  <c r="I1409" i="47540"/>
  <c r="I48" i="47540"/>
  <c r="I144" i="47540"/>
  <c r="I216" i="47540"/>
  <c r="I269" i="47540"/>
  <c r="I333" i="47540"/>
  <c r="I397" i="47540"/>
  <c r="I472" i="47540"/>
  <c r="I609" i="47540"/>
  <c r="I717" i="47540"/>
  <c r="I824" i="47540"/>
  <c r="I961" i="47540"/>
  <c r="I1045" i="47540"/>
  <c r="I1093" i="47540"/>
  <c r="I1157" i="47540"/>
  <c r="I1211" i="47540"/>
  <c r="I1264" i="47540"/>
  <c r="I1323" i="47540"/>
  <c r="I1371" i="47540"/>
  <c r="I1424" i="47540"/>
  <c r="I15" i="47540"/>
  <c r="I63" i="47540"/>
  <c r="I123" i="47540"/>
  <c r="I163" i="47540"/>
  <c r="I211" i="47540"/>
  <c r="I271" i="47540"/>
  <c r="I319" i="47540"/>
  <c r="I363" i="47540"/>
  <c r="I419" i="47540"/>
  <c r="I467" i="47540"/>
  <c r="I523" i="47540"/>
  <c r="I575" i="47540"/>
  <c r="I619" i="47540"/>
  <c r="I671" i="47540"/>
  <c r="I723" i="47540"/>
  <c r="I779" i="47540"/>
  <c r="I819" i="47540"/>
  <c r="I875" i="47540"/>
  <c r="I927" i="47540"/>
  <c r="I975" i="47540"/>
  <c r="I1035" i="47540"/>
  <c r="I50" i="47540"/>
  <c r="I98" i="47540"/>
  <c r="I158" i="47540"/>
  <c r="I206" i="47540"/>
  <c r="I250" i="47540"/>
  <c r="I306" i="47540"/>
  <c r="I354" i="47540"/>
  <c r="I390" i="47540"/>
  <c r="I434" i="47540"/>
  <c r="I466" i="47540"/>
  <c r="I502" i="47540"/>
  <c r="I546" i="47540"/>
  <c r="I582" i="47540"/>
  <c r="I614" i="47540"/>
  <c r="I658" i="47540"/>
  <c r="I694" i="47540"/>
  <c r="I734" i="47540"/>
  <c r="I774" i="47540"/>
  <c r="I806" i="47540"/>
  <c r="I846" i="47540"/>
  <c r="I886" i="47540"/>
  <c r="I926" i="47540"/>
  <c r="I958" i="47540"/>
  <c r="I998" i="47540"/>
  <c r="I36" i="47540"/>
  <c r="I108" i="47540"/>
  <c r="I196" i="47540"/>
  <c r="I260" i="47540"/>
  <c r="I332" i="47540"/>
  <c r="I420" i="47540"/>
  <c r="I492" i="47540"/>
  <c r="I556" i="47540"/>
  <c r="I644" i="47540"/>
  <c r="I716" i="47540"/>
  <c r="I788" i="47540"/>
  <c r="I876" i="47540"/>
  <c r="I940" i="47540"/>
  <c r="I1012" i="47540"/>
  <c r="I1066" i="47540"/>
  <c r="I1102" i="47540"/>
  <c r="I1134" i="47540"/>
  <c r="I1178" i="47540"/>
  <c r="I1214" i="47540"/>
  <c r="I1254" i="47540"/>
  <c r="I1294" i="47540"/>
  <c r="I1326" i="47540"/>
  <c r="I1366" i="47540"/>
  <c r="I1406" i="47540"/>
  <c r="I1446" i="47540"/>
  <c r="I65" i="47540"/>
  <c r="I145" i="47540"/>
  <c r="I56" i="47540"/>
  <c r="I168" i="47540"/>
  <c r="I264" i="47540"/>
  <c r="I328" i="47540"/>
  <c r="I401" i="47540"/>
  <c r="I488" i="47540"/>
  <c r="I561" i="47540"/>
  <c r="I625" i="47540"/>
  <c r="I721" i="47540"/>
  <c r="I808" i="47540"/>
  <c r="I1123" i="47540"/>
  <c r="I1304" i="47540"/>
  <c r="I1384" i="47540"/>
  <c r="I43" i="47540"/>
  <c r="I95" i="47540"/>
  <c r="I139" i="47540"/>
  <c r="I191" i="47540"/>
  <c r="I243" i="47540"/>
  <c r="I291" i="47540"/>
  <c r="I351" i="47540"/>
  <c r="I395" i="47540"/>
  <c r="I443" i="47540"/>
  <c r="I499" i="47540"/>
  <c r="I547" i="47540"/>
  <c r="I591" i="47540"/>
  <c r="I651" i="47540"/>
  <c r="I699" i="47540"/>
  <c r="I747" i="47540"/>
  <c r="I803" i="47540"/>
  <c r="I847" i="47540"/>
  <c r="I895" i="47540"/>
  <c r="I955" i="47540"/>
  <c r="I1003" i="47540"/>
  <c r="I18" i="47540"/>
  <c r="I78" i="47540"/>
  <c r="I126" i="47540"/>
  <c r="I178" i="47540"/>
  <c r="I234" i="47540"/>
  <c r="I274" i="47540"/>
  <c r="I330" i="47540"/>
  <c r="I374" i="47540"/>
  <c r="I414" i="47540"/>
  <c r="I446" i="47540"/>
  <c r="I486" i="47540"/>
  <c r="I526" i="47540"/>
  <c r="I562" i="47540"/>
  <c r="I606" i="47540"/>
  <c r="I638" i="47540"/>
  <c r="I674" i="47540"/>
  <c r="I718" i="47540"/>
  <c r="I754" i="47540"/>
  <c r="I786" i="47540"/>
  <c r="I830" i="47540"/>
  <c r="I866" i="47540"/>
  <c r="I902" i="47540"/>
  <c r="I946" i="47540"/>
  <c r="I978" i="47540"/>
  <c r="I1014" i="47540"/>
  <c r="I76" i="47540"/>
  <c r="I148" i="47540"/>
  <c r="I212" i="47540"/>
  <c r="I300" i="47540"/>
  <c r="I372" i="47540"/>
  <c r="I452" i="47540"/>
  <c r="I532" i="47540"/>
  <c r="I596" i="47540"/>
  <c r="I676" i="47540"/>
  <c r="I756" i="47540"/>
  <c r="I836" i="47540"/>
  <c r="I900" i="47540"/>
  <c r="I980" i="47540"/>
  <c r="I1046" i="47540"/>
  <c r="I1082" i="47540"/>
  <c r="I1126" i="47540"/>
  <c r="I1158" i="47540"/>
  <c r="I1194" i="47540"/>
  <c r="I1238" i="47540"/>
  <c r="I1274" i="47540"/>
  <c r="I1306" i="47540"/>
  <c r="I1350" i="47540"/>
  <c r="I1386" i="47540"/>
  <c r="I1422" i="47540"/>
  <c r="I41" i="47540"/>
  <c r="I105" i="47540"/>
  <c r="I177" i="47540"/>
  <c r="I120" i="47540"/>
  <c r="I221" i="47540"/>
  <c r="I285" i="47540"/>
  <c r="I369" i="47540"/>
  <c r="I445" i="47540"/>
  <c r="I520" i="47540"/>
  <c r="I605" i="47540"/>
  <c r="I680" i="47540"/>
  <c r="I753" i="47540"/>
  <c r="I968" i="47540"/>
  <c r="I1240" i="47540"/>
  <c r="I1331" i="47540"/>
  <c r="I1443" i="47540"/>
  <c r="I720" i="47540"/>
  <c r="I869" i="47540"/>
  <c r="I1041" i="47540"/>
  <c r="I1105" i="47540"/>
  <c r="I1180" i="47540"/>
  <c r="I1271" i="47540"/>
  <c r="I1345" i="47540"/>
  <c r="I1415" i="47540"/>
  <c r="I461" i="47540"/>
  <c r="I600" i="47540"/>
  <c r="I749" i="47540"/>
  <c r="I909" i="47540"/>
  <c r="I1040" i="47540"/>
  <c r="I1120" i="47540"/>
  <c r="I1205" i="47540"/>
  <c r="I1280" i="47540"/>
  <c r="I1349" i="47540"/>
  <c r="I1445" i="47540"/>
  <c r="I109" i="47540"/>
  <c r="I213" i="47540"/>
  <c r="I297" i="47540"/>
  <c r="I361" i="47540"/>
  <c r="I437" i="47540"/>
  <c r="I521" i="47540"/>
  <c r="I597" i="47540"/>
  <c r="I661" i="47540"/>
  <c r="I745" i="47540"/>
  <c r="I821" i="47540"/>
  <c r="I896" i="47540"/>
  <c r="I981" i="47540"/>
  <c r="I1039" i="47540"/>
  <c r="I1076" i="47540"/>
  <c r="I1119" i="47540"/>
  <c r="I1156" i="47540"/>
  <c r="I1188" i="47540"/>
  <c r="I1231" i="47540"/>
  <c r="I1268" i="47540"/>
  <c r="I1305" i="47540"/>
  <c r="I1348" i="47540"/>
  <c r="I1380" i="47540"/>
  <c r="I1417" i="47540"/>
  <c r="I797" i="47540"/>
  <c r="I913" i="47540"/>
  <c r="I989" i="47540"/>
  <c r="I1059" i="47540"/>
  <c r="I1101" i="47540"/>
  <c r="I1144" i="47540"/>
  <c r="I1197" i="47540"/>
  <c r="I1235" i="47540"/>
  <c r="I1288" i="47540"/>
  <c r="I1363" i="47540"/>
  <c r="I1421" i="47540"/>
  <c r="I69" i="47540"/>
  <c r="I197" i="47540"/>
  <c r="I272" i="47540"/>
  <c r="I345" i="47540"/>
  <c r="I432" i="47540"/>
  <c r="I496" i="47540"/>
  <c r="I581" i="47540"/>
  <c r="I709" i="47540"/>
  <c r="I857" i="47540"/>
  <c r="I976" i="47540"/>
  <c r="I1089" i="47540"/>
  <c r="I1164" i="47540"/>
  <c r="I1239" i="47540"/>
  <c r="I1319" i="47540"/>
  <c r="I1383" i="47540"/>
  <c r="I16" i="47540"/>
  <c r="I160" i="47540"/>
  <c r="I248" i="47540"/>
  <c r="I312" i="47540"/>
  <c r="I408" i="47540"/>
  <c r="I545" i="47540"/>
  <c r="I696" i="47540"/>
  <c r="I865" i="47540"/>
  <c r="I1005" i="47540"/>
  <c r="I1083" i="47540"/>
  <c r="I1168" i="47540"/>
  <c r="I1243" i="47540"/>
  <c r="I1307" i="47540"/>
  <c r="I1381" i="47540"/>
  <c r="I1451" i="47540"/>
  <c r="I19" i="47540"/>
  <c r="I127" i="47540"/>
  <c r="I235" i="47540"/>
  <c r="I331" i="47540"/>
  <c r="I435" i="47540"/>
  <c r="I531" i="47540"/>
  <c r="I635" i="47540"/>
  <c r="I735" i="47540"/>
  <c r="I843" i="47540"/>
  <c r="I931" i="47540"/>
  <c r="I14" i="47540"/>
  <c r="I122" i="47540"/>
  <c r="I210" i="47540"/>
  <c r="I318" i="47540"/>
  <c r="I402" i="47540"/>
  <c r="I478" i="47540"/>
  <c r="I550" i="47540"/>
  <c r="I630" i="47540"/>
  <c r="I702" i="47540"/>
  <c r="I782" i="47540"/>
  <c r="I862" i="47540"/>
  <c r="I930" i="47540"/>
  <c r="I1010" i="47540"/>
  <c r="I132" i="47540"/>
  <c r="I276" i="47540"/>
  <c r="I428" i="47540"/>
  <c r="I588" i="47540"/>
  <c r="I724" i="47540"/>
  <c r="I884" i="47540"/>
  <c r="I1038" i="47540"/>
  <c r="I1110" i="47540"/>
  <c r="I1190" i="47540"/>
  <c r="I1262" i="47540"/>
  <c r="I1338" i="47540"/>
  <c r="I1414" i="47540"/>
  <c r="I97" i="47540"/>
  <c r="I72" i="47540"/>
  <c r="I273" i="47540"/>
  <c r="I433" i="47540"/>
  <c r="I573" i="47540"/>
  <c r="I744" i="47540"/>
  <c r="I1192" i="47540"/>
  <c r="I1411" i="47540"/>
  <c r="I741" i="47540"/>
  <c r="I965" i="47540"/>
  <c r="I1095" i="47540"/>
  <c r="I1212" i="47540"/>
  <c r="I1303" i="47540"/>
  <c r="I1404" i="47540"/>
  <c r="I504" i="47540"/>
  <c r="I685" i="47540"/>
  <c r="I856" i="47540"/>
  <c r="I1061" i="47540"/>
  <c r="I1163" i="47540"/>
  <c r="I1259" i="47540"/>
  <c r="I1387" i="47540"/>
  <c r="I45" i="47540"/>
  <c r="I189" i="47540"/>
  <c r="I309" i="47540"/>
  <c r="I405" i="47540"/>
  <c r="I489" i="47540"/>
  <c r="I608" i="47540"/>
  <c r="I704" i="47540"/>
  <c r="I809" i="47540"/>
  <c r="I917" i="47540"/>
  <c r="I1001" i="47540"/>
  <c r="I1071" i="47540"/>
  <c r="I1124" i="47540"/>
  <c r="I1177" i="47540"/>
  <c r="I1220" i="47540"/>
  <c r="I1273" i="47540"/>
  <c r="I1327" i="47540"/>
  <c r="I1375" i="47540"/>
  <c r="I1433" i="47540"/>
  <c r="I849" i="47540"/>
  <c r="I977" i="47540"/>
  <c r="I1069" i="47540"/>
  <c r="I1128" i="47540"/>
  <c r="I1176" i="47540"/>
  <c r="I1251" i="47540"/>
  <c r="I1325" i="47540"/>
  <c r="I1405" i="47540"/>
  <c r="I117" i="47540"/>
  <c r="I229" i="47540"/>
  <c r="I325" i="47540"/>
  <c r="I441" i="47540"/>
  <c r="I549" i="47540"/>
  <c r="I656" i="47540"/>
  <c r="I880" i="47540"/>
  <c r="I1047" i="47540"/>
  <c r="I1153" i="47540"/>
  <c r="I1255" i="47540"/>
  <c r="I1340" i="47540"/>
  <c r="I1447" i="47540"/>
  <c r="I176" i="47540"/>
  <c r="I289" i="47540"/>
  <c r="I385" i="47540"/>
  <c r="I568" i="47540"/>
  <c r="I781" i="47540"/>
  <c r="I984" i="47540"/>
  <c r="I1115" i="47540"/>
  <c r="I1200" i="47540"/>
  <c r="I1296" i="47540"/>
  <c r="I1403" i="47540"/>
  <c r="I79" i="47540"/>
  <c r="I179" i="47540"/>
  <c r="I275" i="47540"/>
  <c r="I383" i="47540"/>
  <c r="I479" i="47540"/>
  <c r="I587" i="47540"/>
  <c r="I691" i="47540"/>
  <c r="I783" i="47540"/>
  <c r="I891" i="47540"/>
  <c r="I991" i="47540"/>
  <c r="I62" i="47540"/>
  <c r="I162" i="47540"/>
  <c r="I270" i="47540"/>
  <c r="I358" i="47540"/>
  <c r="I438" i="47540"/>
  <c r="I518" i="47540"/>
  <c r="I590" i="47540"/>
  <c r="I670" i="47540"/>
  <c r="I742" i="47540"/>
  <c r="I818" i="47540"/>
  <c r="I894" i="47540"/>
  <c r="I974" i="47540"/>
  <c r="I44" i="47540"/>
  <c r="I204" i="47540"/>
  <c r="I364" i="47540"/>
  <c r="I500" i="47540"/>
  <c r="I660" i="47540"/>
  <c r="I812" i="47540"/>
  <c r="I964" i="47540"/>
  <c r="I1070" i="47540"/>
  <c r="I1150" i="47540"/>
  <c r="I1222" i="47540"/>
  <c r="I1302" i="47540"/>
  <c r="I1382" i="47540"/>
  <c r="I1450" i="47540"/>
  <c r="I169" i="47540"/>
  <c r="I200" i="47540"/>
  <c r="I349" i="47540"/>
  <c r="I497" i="47540"/>
  <c r="I669" i="47540"/>
  <c r="I829" i="47540"/>
  <c r="I1315" i="47540"/>
  <c r="I613" i="47540"/>
  <c r="I825" i="47540"/>
  <c r="I1052" i="47540"/>
  <c r="I1148" i="47540"/>
  <c r="I1233" i="47540"/>
  <c r="I1356" i="47540"/>
  <c r="I1452" i="47540"/>
  <c r="I577" i="47540"/>
  <c r="I792" i="47540"/>
  <c r="I952" i="47540"/>
  <c r="I1109" i="47540"/>
  <c r="I1216" i="47540"/>
  <c r="I1328" i="47540"/>
  <c r="I1419" i="47540"/>
  <c r="I125" i="47540"/>
  <c r="I256" i="47540"/>
  <c r="I352" i="47540"/>
  <c r="I469" i="47540"/>
  <c r="I553" i="47540"/>
  <c r="I649" i="47540"/>
  <c r="I768" i="47540"/>
  <c r="I864" i="47540"/>
  <c r="I949" i="47540"/>
  <c r="I1049" i="47540"/>
  <c r="I1097" i="47540"/>
  <c r="I1145" i="47540"/>
  <c r="I1204" i="47540"/>
  <c r="I1247" i="47540"/>
  <c r="I1295" i="47540"/>
  <c r="I1353" i="47540"/>
  <c r="I1401" i="47540"/>
  <c r="I1444" i="47540"/>
  <c r="I925" i="47540"/>
  <c r="I1030" i="47540"/>
  <c r="I1096" i="47540"/>
  <c r="I1155" i="47540"/>
  <c r="I1208" i="47540"/>
  <c r="I1283" i="47540"/>
  <c r="I1373" i="47540"/>
  <c r="I21" i="47540"/>
  <c r="I165" i="47540"/>
  <c r="I281" i="47540"/>
  <c r="I389" i="47540"/>
  <c r="I485" i="47540"/>
  <c r="I624" i="47540"/>
  <c r="I773" i="47540"/>
  <c r="I953" i="47540"/>
  <c r="I1111" i="47540"/>
  <c r="I1207" i="47540"/>
  <c r="I1287" i="47540"/>
  <c r="I1399" i="47540"/>
  <c r="I96" i="47540"/>
  <c r="I225" i="47540"/>
  <c r="I344" i="47540"/>
  <c r="I449" i="47540"/>
  <c r="I653" i="47540"/>
  <c r="I888" i="47540"/>
  <c r="I1056" i="47540"/>
  <c r="I1136" i="47540"/>
  <c r="I1253" i="47540"/>
  <c r="I1344" i="47540"/>
  <c r="I1440" i="47540"/>
  <c r="I51" i="47540"/>
  <c r="I251" i="47540"/>
  <c r="I463" i="47540"/>
  <c r="I659" i="47540"/>
  <c r="I863" i="47540"/>
  <c r="I42" i="47540"/>
  <c r="I242" i="47540"/>
  <c r="I418" i="47540"/>
  <c r="I574" i="47540"/>
  <c r="I722" i="47540"/>
  <c r="I870" i="47540"/>
  <c r="I20" i="47540"/>
  <c r="I324" i="47540"/>
  <c r="I620" i="47540"/>
  <c r="I932" i="47540"/>
  <c r="I1130" i="47540"/>
  <c r="I1278" i="47540"/>
  <c r="I1434" i="47540"/>
  <c r="I136" i="47540"/>
  <c r="I456" i="47540"/>
  <c r="I785" i="47540"/>
  <c r="I517" i="47540"/>
  <c r="I985" i="47540"/>
  <c r="I1223" i="47540"/>
  <c r="I1441" i="47540"/>
  <c r="I705" i="47540"/>
  <c r="I1088" i="47540"/>
  <c r="I1291" i="47540"/>
  <c r="I93" i="47540"/>
  <c r="I320" i="47540"/>
  <c r="I533" i="47540"/>
  <c r="I725" i="47540"/>
  <c r="I937" i="47540"/>
  <c r="I1092" i="47540"/>
  <c r="I1183" i="47540"/>
  <c r="I1289" i="47540"/>
  <c r="I1391" i="47540"/>
  <c r="I881" i="47540"/>
  <c r="I1075" i="47540"/>
  <c r="I1203" i="47540"/>
  <c r="I1336" i="47540"/>
  <c r="I133" i="47540"/>
  <c r="I368" i="47540"/>
  <c r="I569" i="47540"/>
  <c r="I933" i="47540"/>
  <c r="I1175" i="47540"/>
  <c r="I1372" i="47540"/>
  <c r="I205" i="47540"/>
  <c r="I440" i="47540"/>
  <c r="I801" i="47540"/>
  <c r="I1125" i="47540"/>
  <c r="I1333" i="47540"/>
  <c r="I159" i="47540"/>
  <c r="I355" i="47540"/>
  <c r="I555" i="47540"/>
  <c r="I763" i="47540"/>
  <c r="I959" i="47540"/>
  <c r="I138" i="47540"/>
  <c r="I350" i="47540"/>
  <c r="I498" i="47540"/>
  <c r="I646" i="47540"/>
  <c r="I802" i="47540"/>
  <c r="I950" i="47540"/>
  <c r="I164" i="47540"/>
  <c r="I468" i="47540"/>
  <c r="I772" i="47540"/>
  <c r="I1050" i="47540"/>
  <c r="I1210" i="47540"/>
  <c r="I1358" i="47540"/>
  <c r="I129" i="47540"/>
  <c r="I317" i="47540"/>
  <c r="I616" i="47540"/>
  <c r="I1261" i="47540"/>
  <c r="I805" i="47540"/>
  <c r="I1127" i="47540"/>
  <c r="I1324" i="47540"/>
  <c r="I513" i="47540"/>
  <c r="I929" i="47540"/>
  <c r="I1173" i="47540"/>
  <c r="I1397" i="47540"/>
  <c r="I233" i="47540"/>
  <c r="I425" i="47540"/>
  <c r="I640" i="47540"/>
  <c r="I832" i="47540"/>
  <c r="I1032" i="47540"/>
  <c r="I1135" i="47540"/>
  <c r="I1241" i="47540"/>
  <c r="I1332" i="47540"/>
  <c r="I1439" i="47540"/>
  <c r="I1021" i="47540"/>
  <c r="I1133" i="47540"/>
  <c r="I1267" i="47540"/>
  <c r="I1432" i="47540"/>
  <c r="I261" i="47540"/>
  <c r="I453" i="47540"/>
  <c r="I729" i="47540"/>
  <c r="I1068" i="47540"/>
  <c r="I1276" i="47540"/>
  <c r="I80" i="47540"/>
  <c r="I301" i="47540"/>
  <c r="I632" i="47540"/>
  <c r="I1034" i="47540"/>
  <c r="I1221" i="47540"/>
  <c r="I1413" i="47540"/>
  <c r="I99" i="47540"/>
  <c r="I507" i="47540"/>
  <c r="I915" i="47540"/>
  <c r="I290" i="47540"/>
  <c r="I610" i="47540"/>
  <c r="I914" i="47540"/>
  <c r="I388" i="47540"/>
  <c r="I1004" i="47540"/>
  <c r="I1322" i="47540"/>
  <c r="I232" i="47540"/>
  <c r="I1037" i="47540"/>
  <c r="I1063" i="47540"/>
  <c r="I365" i="47540"/>
  <c r="I1152" i="47540"/>
  <c r="I173" i="47540"/>
  <c r="I576" i="47540"/>
  <c r="I992" i="47540"/>
  <c r="I1209" i="47540"/>
  <c r="I1412" i="47540"/>
  <c r="I1107" i="47540"/>
  <c r="I1389" i="47540"/>
  <c r="I400" i="47540"/>
  <c r="I1036" i="47540"/>
  <c r="I1425" i="47540"/>
  <c r="I525" i="47540"/>
  <c r="I1179" i="47540"/>
  <c r="I307" i="47540"/>
  <c r="I703" i="47540"/>
  <c r="I94" i="47540"/>
  <c r="I462" i="47540"/>
  <c r="I758" i="47540"/>
  <c r="I84" i="47540"/>
  <c r="I708" i="47540"/>
  <c r="I1166" i="47540"/>
  <c r="I49" i="47540"/>
  <c r="I541" i="47540"/>
  <c r="I697" i="47540"/>
  <c r="I1281" i="47540"/>
  <c r="I833" i="47540"/>
  <c r="I1339" i="47540"/>
  <c r="I384" i="47540"/>
  <c r="I777" i="47540"/>
  <c r="I1103" i="47540"/>
  <c r="I1316" i="47540"/>
  <c r="I957" i="47540"/>
  <c r="I1229" i="47540"/>
  <c r="I217" i="47540"/>
  <c r="I633" i="47540"/>
  <c r="I1217" i="47540"/>
  <c r="I257" i="47540"/>
  <c r="I920" i="47540"/>
  <c r="I1360" i="47540"/>
  <c r="I207" i="47540"/>
  <c r="I1011" i="47540"/>
  <c r="I690" i="47540"/>
  <c r="I548" i="47540"/>
  <c r="I1390" i="47540"/>
  <c r="I1368" i="47540"/>
  <c r="I621" i="47540"/>
  <c r="I265" i="47540"/>
  <c r="I1060" i="47540"/>
  <c r="I817" i="47540"/>
  <c r="I53" i="47540"/>
  <c r="I1121" i="47540"/>
  <c r="I737" i="47540"/>
  <c r="I403" i="47540"/>
  <c r="I190" i="47540"/>
  <c r="I838" i="47540"/>
  <c r="I844" i="47540"/>
  <c r="I40" i="47540"/>
  <c r="I912" i="47540"/>
  <c r="I1025" i="47540"/>
  <c r="I480" i="47540"/>
  <c r="I1161" i="47540"/>
  <c r="I1048" i="47540"/>
  <c r="I313" i="47540"/>
  <c r="I1329" i="47540"/>
  <c r="I1072" i="47540"/>
  <c r="I611" i="47540"/>
  <c r="I382" i="47540"/>
  <c r="I990" i="47540"/>
  <c r="I1094" i="47540"/>
  <c r="I392" i="47540"/>
  <c r="I1169" i="47540"/>
  <c r="I1237" i="47540"/>
  <c r="I693" i="47540"/>
  <c r="I1263" i="47540"/>
  <c r="I1171" i="47540"/>
  <c r="I528" i="47540"/>
  <c r="I112" i="47540"/>
  <c r="I1285" i="47540"/>
  <c r="I811" i="47540"/>
  <c r="I530" i="47540"/>
  <c r="I244" i="47540"/>
  <c r="I1242" i="47540"/>
  <c r="I701" i="47540"/>
  <c r="I1393" i="47540"/>
  <c r="I29" i="47540"/>
  <c r="I873" i="47540"/>
  <c r="I1359" i="47540"/>
  <c r="I1320" i="47540"/>
  <c r="I816" i="47540"/>
  <c r="I353" i="47540"/>
  <c r="F15" i="47540"/>
  <c r="F31" i="47540"/>
  <c r="F47" i="47540"/>
  <c r="F63" i="47540"/>
  <c r="F79" i="47540"/>
  <c r="F95" i="47540"/>
  <c r="F111" i="47540"/>
  <c r="F127" i="47540"/>
  <c r="F143" i="47540"/>
  <c r="F159" i="47540"/>
  <c r="F175" i="47540"/>
  <c r="F191" i="47540"/>
  <c r="F207" i="47540"/>
  <c r="F223" i="47540"/>
  <c r="F239" i="47540"/>
  <c r="F255" i="47540"/>
  <c r="F271" i="47540"/>
  <c r="F287" i="47540"/>
  <c r="F303" i="47540"/>
  <c r="F319" i="47540"/>
  <c r="F335" i="47540"/>
  <c r="F351" i="47540"/>
  <c r="F367" i="47540"/>
  <c r="F383" i="47540"/>
  <c r="F399" i="47540"/>
  <c r="F415" i="47540"/>
  <c r="F431" i="47540"/>
  <c r="F447" i="47540"/>
  <c r="F463" i="47540"/>
  <c r="F479" i="47540"/>
  <c r="F495" i="47540"/>
  <c r="F511" i="47540"/>
  <c r="F527" i="47540"/>
  <c r="F543" i="47540"/>
  <c r="F559" i="47540"/>
  <c r="F575" i="47540"/>
  <c r="F591" i="47540"/>
  <c r="F607" i="47540"/>
  <c r="F623" i="47540"/>
  <c r="F639" i="47540"/>
  <c r="F655" i="47540"/>
  <c r="F671" i="47540"/>
  <c r="F687" i="47540"/>
  <c r="F703" i="47540"/>
  <c r="F719" i="47540"/>
  <c r="F735" i="47540"/>
  <c r="F751" i="47540"/>
  <c r="F767" i="47540"/>
  <c r="F783" i="47540"/>
  <c r="F799" i="47540"/>
  <c r="F815" i="47540"/>
  <c r="F831" i="47540"/>
  <c r="F847" i="47540"/>
  <c r="F863" i="47540"/>
  <c r="F879" i="47540"/>
  <c r="F895" i="47540"/>
  <c r="F911" i="47540"/>
  <c r="F927" i="47540"/>
  <c r="F943" i="47540"/>
  <c r="F959" i="47540"/>
  <c r="F975" i="47540"/>
  <c r="F991" i="47540"/>
  <c r="F1007" i="47540"/>
  <c r="F1023" i="47540"/>
  <c r="F14" i="47540"/>
  <c r="F30" i="47540"/>
  <c r="F46" i="47540"/>
  <c r="F62" i="47540"/>
  <c r="F78" i="47540"/>
  <c r="F94" i="47540"/>
  <c r="F110" i="47540"/>
  <c r="F126" i="47540"/>
  <c r="F142" i="47540"/>
  <c r="F158" i="47540"/>
  <c r="F174" i="47540"/>
  <c r="F190" i="47540"/>
  <c r="F206" i="47540"/>
  <c r="F222" i="47540"/>
  <c r="F238" i="47540"/>
  <c r="F254" i="47540"/>
  <c r="F270" i="47540"/>
  <c r="F286" i="47540"/>
  <c r="F302" i="47540"/>
  <c r="F318" i="47540"/>
  <c r="F334" i="47540"/>
  <c r="F350" i="47540"/>
  <c r="F366" i="47540"/>
  <c r="F382" i="47540"/>
  <c r="F398" i="47540"/>
  <c r="F414" i="47540"/>
  <c r="F430" i="47540"/>
  <c r="F446" i="47540"/>
  <c r="F462" i="47540"/>
  <c r="F478" i="47540"/>
  <c r="F494" i="47540"/>
  <c r="F510" i="47540"/>
  <c r="F526" i="47540"/>
  <c r="F542" i="47540"/>
  <c r="F558" i="47540"/>
  <c r="F574" i="47540"/>
  <c r="F590" i="47540"/>
  <c r="F606" i="47540"/>
  <c r="F622" i="47540"/>
  <c r="F638" i="47540"/>
  <c r="F654" i="47540"/>
  <c r="F670" i="47540"/>
  <c r="F686" i="47540"/>
  <c r="F702" i="47540"/>
  <c r="F718" i="47540"/>
  <c r="F734" i="47540"/>
  <c r="F750" i="47540"/>
  <c r="F766" i="47540"/>
  <c r="F782" i="47540"/>
  <c r="F798" i="47540"/>
  <c r="F814" i="47540"/>
  <c r="F830" i="47540"/>
  <c r="F846" i="47540"/>
  <c r="F862" i="47540"/>
  <c r="F878" i="47540"/>
  <c r="F894" i="47540"/>
  <c r="F910" i="47540"/>
  <c r="F926" i="47540"/>
  <c r="F942" i="47540"/>
  <c r="F958" i="47540"/>
  <c r="F974" i="47540"/>
  <c r="F990" i="47540"/>
  <c r="F1006" i="47540"/>
  <c r="F1022" i="47540"/>
  <c r="F17" i="47540"/>
  <c r="F49" i="47540"/>
  <c r="F81" i="47540"/>
  <c r="F113" i="47540"/>
  <c r="F145" i="47540"/>
  <c r="F177" i="47540"/>
  <c r="F209" i="47540"/>
  <c r="F241" i="47540"/>
  <c r="F273" i="47540"/>
  <c r="F305" i="47540"/>
  <c r="F337" i="47540"/>
  <c r="F369" i="47540"/>
  <c r="F401" i="47540"/>
  <c r="F433" i="47540"/>
  <c r="F465" i="47540"/>
  <c r="F497" i="47540"/>
  <c r="F529" i="47540"/>
  <c r="F561" i="47540"/>
  <c r="F593" i="47540"/>
  <c r="F625" i="47540"/>
  <c r="F657" i="47540"/>
  <c r="F689" i="47540"/>
  <c r="F721" i="47540"/>
  <c r="F753" i="47540"/>
  <c r="F785" i="47540"/>
  <c r="F817" i="47540"/>
  <c r="F849" i="47540"/>
  <c r="F881" i="47540"/>
  <c r="F913" i="47540"/>
  <c r="F945" i="47540"/>
  <c r="F977" i="47540"/>
  <c r="F1009" i="47540"/>
  <c r="F1039" i="47540"/>
  <c r="F1055" i="47540"/>
  <c r="F1071" i="47540"/>
  <c r="F1087" i="47540"/>
  <c r="F1103" i="47540"/>
  <c r="F1119" i="47540"/>
  <c r="F1135" i="47540"/>
  <c r="F1151" i="47540"/>
  <c r="F1167" i="47540"/>
  <c r="F1183" i="47540"/>
  <c r="F1199" i="47540"/>
  <c r="F1215" i="47540"/>
  <c r="F1231" i="47540"/>
  <c r="F1247" i="47540"/>
  <c r="F1263" i="47540"/>
  <c r="F1279" i="47540"/>
  <c r="F1295" i="47540"/>
  <c r="F1311" i="47540"/>
  <c r="F1327" i="47540"/>
  <c r="F1343" i="47540"/>
  <c r="F1359" i="47540"/>
  <c r="F1375" i="47540"/>
  <c r="F1391" i="47540"/>
  <c r="F1407" i="47540"/>
  <c r="F1423" i="47540"/>
  <c r="F1439" i="47540"/>
  <c r="F16" i="47540"/>
  <c r="F48" i="47540"/>
  <c r="F80" i="47540"/>
  <c r="F112" i="47540"/>
  <c r="F144" i="47540"/>
  <c r="F176" i="47540"/>
  <c r="F208" i="47540"/>
  <c r="F240" i="47540"/>
  <c r="F272" i="47540"/>
  <c r="F304" i="47540"/>
  <c r="F336" i="47540"/>
  <c r="F368" i="47540"/>
  <c r="F400" i="47540"/>
  <c r="F432" i="47540"/>
  <c r="F464" i="47540"/>
  <c r="F496" i="47540"/>
  <c r="F528" i="47540"/>
  <c r="F560" i="47540"/>
  <c r="F592" i="47540"/>
  <c r="F624" i="47540"/>
  <c r="F656" i="47540"/>
  <c r="F688" i="47540"/>
  <c r="F720" i="47540"/>
  <c r="F752" i="47540"/>
  <c r="F784" i="47540"/>
  <c r="F816" i="47540"/>
  <c r="F848" i="47540"/>
  <c r="F880" i="47540"/>
  <c r="F912" i="47540"/>
  <c r="F944" i="47540"/>
  <c r="F976" i="47540"/>
  <c r="F1008" i="47540"/>
  <c r="F1038" i="47540"/>
  <c r="F1054" i="47540"/>
  <c r="F1070" i="47540"/>
  <c r="F1086" i="47540"/>
  <c r="F1102" i="47540"/>
  <c r="F1118" i="47540"/>
  <c r="F1134" i="47540"/>
  <c r="F1150" i="47540"/>
  <c r="F1166" i="47540"/>
  <c r="F1182" i="47540"/>
  <c r="F1198" i="47540"/>
  <c r="F1214" i="47540"/>
  <c r="F1230" i="47540"/>
  <c r="F1246" i="47540"/>
  <c r="F1262" i="47540"/>
  <c r="F1278" i="47540"/>
  <c r="F1294" i="47540"/>
  <c r="F1310" i="47540"/>
  <c r="F1326" i="47540"/>
  <c r="F1342" i="47540"/>
  <c r="F1358" i="47540"/>
  <c r="F1374" i="47540"/>
  <c r="F1390" i="47540"/>
  <c r="F1406" i="47540"/>
  <c r="F1422" i="47540"/>
  <c r="F1438" i="47540"/>
  <c r="F13" i="47540"/>
  <c r="F45" i="47540"/>
  <c r="F77" i="47540"/>
  <c r="F109" i="47540"/>
  <c r="F141" i="47540"/>
  <c r="F173" i="47540"/>
  <c r="F205" i="47540"/>
  <c r="F237" i="47540"/>
  <c r="F269" i="47540"/>
  <c r="F301" i="47540"/>
  <c r="F333" i="47540"/>
  <c r="F365" i="47540"/>
  <c r="F397" i="47540"/>
  <c r="F429" i="47540"/>
  <c r="F461" i="47540"/>
  <c r="F493" i="47540"/>
  <c r="F525" i="47540"/>
  <c r="F557" i="47540"/>
  <c r="F589" i="47540"/>
  <c r="F621" i="47540"/>
  <c r="F653" i="47540"/>
  <c r="F685" i="47540"/>
  <c r="F717" i="47540"/>
  <c r="F749" i="47540"/>
  <c r="F781" i="47540"/>
  <c r="F813" i="47540"/>
  <c r="F845" i="47540"/>
  <c r="F877" i="47540"/>
  <c r="F909" i="47540"/>
  <c r="F941" i="47540"/>
  <c r="F973" i="47540"/>
  <c r="F1005" i="47540"/>
  <c r="F1037" i="47540"/>
  <c r="F1053" i="47540"/>
  <c r="F1069" i="47540"/>
  <c r="F1085" i="47540"/>
  <c r="F1101" i="47540"/>
  <c r="F1117" i="47540"/>
  <c r="F1133" i="47540"/>
  <c r="F1149" i="47540"/>
  <c r="F1165" i="47540"/>
  <c r="F1181" i="47540"/>
  <c r="F1197" i="47540"/>
  <c r="F1213" i="47540"/>
  <c r="F1229" i="47540"/>
  <c r="F1245" i="47540"/>
  <c r="F1261" i="47540"/>
  <c r="F1277" i="47540"/>
  <c r="F1293" i="47540"/>
  <c r="F1309" i="47540"/>
  <c r="F1325" i="47540"/>
  <c r="F1341" i="47540"/>
  <c r="F1357" i="47540"/>
  <c r="F1373" i="47540"/>
  <c r="F1389" i="47540"/>
  <c r="F1405" i="47540"/>
  <c r="F1421" i="47540"/>
  <c r="F1437" i="47540"/>
  <c r="F20" i="47540"/>
  <c r="F52" i="47540"/>
  <c r="F84" i="47540"/>
  <c r="F116" i="47540"/>
  <c r="F148" i="47540"/>
  <c r="F188" i="47540"/>
  <c r="F220" i="47540"/>
  <c r="F252" i="47540"/>
  <c r="F284" i="47540"/>
  <c r="F316" i="47540"/>
  <c r="F348" i="47540"/>
  <c r="F380" i="47540"/>
  <c r="F444" i="47540"/>
  <c r="F572" i="47540"/>
  <c r="F700" i="47540"/>
  <c r="F828" i="47540"/>
  <c r="F956" i="47540"/>
  <c r="F1060" i="47540"/>
  <c r="F1124" i="47540"/>
  <c r="F1188" i="47540"/>
  <c r="F1252" i="47540"/>
  <c r="F1316" i="47540"/>
  <c r="F1380" i="47540"/>
  <c r="F1444" i="47540"/>
  <c r="F500" i="47540"/>
  <c r="F628" i="47540"/>
  <c r="F756" i="47540"/>
  <c r="F884" i="47540"/>
  <c r="F1012" i="47540"/>
  <c r="F1088" i="47540"/>
  <c r="F1152" i="47540"/>
  <c r="F1216" i="47540"/>
  <c r="F1280" i="47540"/>
  <c r="F1344" i="47540"/>
  <c r="F1408" i="47540"/>
  <c r="F428" i="47540"/>
  <c r="F556" i="47540"/>
  <c r="F684" i="47540"/>
  <c r="F812" i="47540"/>
  <c r="F940" i="47540"/>
  <c r="F1052" i="47540"/>
  <c r="F1116" i="47540"/>
  <c r="F1180" i="47540"/>
  <c r="F1244" i="47540"/>
  <c r="F1308" i="47540"/>
  <c r="F1372" i="47540"/>
  <c r="F1436" i="47540"/>
  <c r="F484" i="47540"/>
  <c r="F612" i="47540"/>
  <c r="F740" i="47540"/>
  <c r="F868" i="47540"/>
  <c r="F996" i="47540"/>
  <c r="F1080" i="47540"/>
  <c r="F1144" i="47540"/>
  <c r="F1208" i="47540"/>
  <c r="F1272" i="47540"/>
  <c r="F1336" i="47540"/>
  <c r="F1400" i="47540"/>
  <c r="F23" i="47540"/>
  <c r="F43" i="47540"/>
  <c r="F67" i="47540"/>
  <c r="F87" i="47540"/>
  <c r="F107" i="47540"/>
  <c r="F131" i="47540"/>
  <c r="F151" i="47540"/>
  <c r="F171" i="47540"/>
  <c r="F195" i="47540"/>
  <c r="F215" i="47540"/>
  <c r="F235" i="47540"/>
  <c r="F259" i="47540"/>
  <c r="F279" i="47540"/>
  <c r="F299" i="47540"/>
  <c r="F323" i="47540"/>
  <c r="F343" i="47540"/>
  <c r="F363" i="47540"/>
  <c r="F387" i="47540"/>
  <c r="F407" i="47540"/>
  <c r="F427" i="47540"/>
  <c r="F451" i="47540"/>
  <c r="F471" i="47540"/>
  <c r="F491" i="47540"/>
  <c r="F515" i="47540"/>
  <c r="F535" i="47540"/>
  <c r="F555" i="47540"/>
  <c r="F579" i="47540"/>
  <c r="F599" i="47540"/>
  <c r="F619" i="47540"/>
  <c r="F643" i="47540"/>
  <c r="F663" i="47540"/>
  <c r="F683" i="47540"/>
  <c r="F707" i="47540"/>
  <c r="F727" i="47540"/>
  <c r="F747" i="47540"/>
  <c r="F771" i="47540"/>
  <c r="F791" i="47540"/>
  <c r="F811" i="47540"/>
  <c r="F835" i="47540"/>
  <c r="F855" i="47540"/>
  <c r="F875" i="47540"/>
  <c r="F899" i="47540"/>
  <c r="F919" i="47540"/>
  <c r="F939" i="47540"/>
  <c r="F963" i="47540"/>
  <c r="F983" i="47540"/>
  <c r="F1003" i="47540"/>
  <c r="F1027" i="47540"/>
  <c r="F22" i="47540"/>
  <c r="F42" i="47540"/>
  <c r="F66" i="47540"/>
  <c r="F86" i="47540"/>
  <c r="F106" i="47540"/>
  <c r="F130" i="47540"/>
  <c r="F150" i="47540"/>
  <c r="F170" i="47540"/>
  <c r="F194" i="47540"/>
  <c r="F214" i="47540"/>
  <c r="F234" i="47540"/>
  <c r="F258" i="47540"/>
  <c r="F278" i="47540"/>
  <c r="F298" i="47540"/>
  <c r="F322" i="47540"/>
  <c r="F342" i="47540"/>
  <c r="F362" i="47540"/>
  <c r="F386" i="47540"/>
  <c r="F406" i="47540"/>
  <c r="F426" i="47540"/>
  <c r="F450" i="47540"/>
  <c r="F470" i="47540"/>
  <c r="F490" i="47540"/>
  <c r="F514" i="47540"/>
  <c r="F534" i="47540"/>
  <c r="F554" i="47540"/>
  <c r="F578" i="47540"/>
  <c r="F598" i="47540"/>
  <c r="F618" i="47540"/>
  <c r="F642" i="47540"/>
  <c r="F662" i="47540"/>
  <c r="F682" i="47540"/>
  <c r="F706" i="47540"/>
  <c r="F726" i="47540"/>
  <c r="F746" i="47540"/>
  <c r="F770" i="47540"/>
  <c r="F790" i="47540"/>
  <c r="F810" i="47540"/>
  <c r="F834" i="47540"/>
  <c r="F854" i="47540"/>
  <c r="F874" i="47540"/>
  <c r="F898" i="47540"/>
  <c r="F918" i="47540"/>
  <c r="F938" i="47540"/>
  <c r="F962" i="47540"/>
  <c r="F982" i="47540"/>
  <c r="F1002" i="47540"/>
  <c r="F1026" i="47540"/>
  <c r="F33" i="47540"/>
  <c r="F73" i="47540"/>
  <c r="F121" i="47540"/>
  <c r="F161" i="47540"/>
  <c r="F201" i="47540"/>
  <c r="F249" i="47540"/>
  <c r="F289" i="47540"/>
  <c r="F329" i="47540"/>
  <c r="F377" i="47540"/>
  <c r="F417" i="47540"/>
  <c r="F457" i="47540"/>
  <c r="F505" i="47540"/>
  <c r="F545" i="47540"/>
  <c r="F585" i="47540"/>
  <c r="F633" i="47540"/>
  <c r="F673" i="47540"/>
  <c r="F713" i="47540"/>
  <c r="F761" i="47540"/>
  <c r="F801" i="47540"/>
  <c r="F841" i="47540"/>
  <c r="F889" i="47540"/>
  <c r="F929" i="47540"/>
  <c r="F969" i="47540"/>
  <c r="F1017" i="47540"/>
  <c r="F1047" i="47540"/>
  <c r="F1067" i="47540"/>
  <c r="F1091" i="47540"/>
  <c r="F1111" i="47540"/>
  <c r="F1131" i="47540"/>
  <c r="F1155" i="47540"/>
  <c r="F1175" i="47540"/>
  <c r="F1195" i="47540"/>
  <c r="F1219" i="47540"/>
  <c r="F1239" i="47540"/>
  <c r="F1259" i="47540"/>
  <c r="F1283" i="47540"/>
  <c r="F1303" i="47540"/>
  <c r="F1323" i="47540"/>
  <c r="F1347" i="47540"/>
  <c r="F1367" i="47540"/>
  <c r="F1387" i="47540"/>
  <c r="F1411" i="47540"/>
  <c r="F1431" i="47540"/>
  <c r="F1451" i="47540"/>
  <c r="F56" i="47540"/>
  <c r="F96" i="47540"/>
  <c r="F136" i="47540"/>
  <c r="F184" i="47540"/>
  <c r="F224" i="47540"/>
  <c r="F264" i="47540"/>
  <c r="F312" i="47540"/>
  <c r="F352" i="47540"/>
  <c r="F392" i="47540"/>
  <c r="F440" i="47540"/>
  <c r="F480" i="47540"/>
  <c r="F520" i="47540"/>
  <c r="F568" i="47540"/>
  <c r="F608" i="47540"/>
  <c r="F648" i="47540"/>
  <c r="F696" i="47540"/>
  <c r="F736" i="47540"/>
  <c r="F776" i="47540"/>
  <c r="F824" i="47540"/>
  <c r="F864" i="47540"/>
  <c r="F904" i="47540"/>
  <c r="F952" i="47540"/>
  <c r="F992" i="47540"/>
  <c r="F1032" i="47540"/>
  <c r="F1058" i="47540"/>
  <c r="F1078" i="47540"/>
  <c r="F1098" i="47540"/>
  <c r="F1122" i="47540"/>
  <c r="F1142" i="47540"/>
  <c r="F1162" i="47540"/>
  <c r="F1186" i="47540"/>
  <c r="F1206" i="47540"/>
  <c r="F1226" i="47540"/>
  <c r="F1250" i="47540"/>
  <c r="F1270" i="47540"/>
  <c r="F1290" i="47540"/>
  <c r="F1314" i="47540"/>
  <c r="F1334" i="47540"/>
  <c r="F1354" i="47540"/>
  <c r="F1378" i="47540"/>
  <c r="F1398" i="47540"/>
  <c r="F1418" i="47540"/>
  <c r="F1442" i="47540"/>
  <c r="F29" i="47540"/>
  <c r="F69" i="47540"/>
  <c r="F117" i="47540"/>
  <c r="F157" i="47540"/>
  <c r="F197" i="47540"/>
  <c r="F245" i="47540"/>
  <c r="F285" i="47540"/>
  <c r="F325" i="47540"/>
  <c r="F373" i="47540"/>
  <c r="F413" i="47540"/>
  <c r="F453" i="47540"/>
  <c r="F501" i="47540"/>
  <c r="F541" i="47540"/>
  <c r="F581" i="47540"/>
  <c r="F629" i="47540"/>
  <c r="F669" i="47540"/>
  <c r="F709" i="47540"/>
  <c r="F757" i="47540"/>
  <c r="F797" i="47540"/>
  <c r="F837" i="47540"/>
  <c r="F885" i="47540"/>
  <c r="F925" i="47540"/>
  <c r="F965" i="47540"/>
  <c r="F1013" i="47540"/>
  <c r="F1045" i="47540"/>
  <c r="F1065" i="47540"/>
  <c r="F1089" i="47540"/>
  <c r="F1109" i="47540"/>
  <c r="F1129" i="47540"/>
  <c r="F1153" i="47540"/>
  <c r="F1173" i="47540"/>
  <c r="F1193" i="47540"/>
  <c r="F1217" i="47540"/>
  <c r="F1237" i="47540"/>
  <c r="F1257" i="47540"/>
  <c r="F1281" i="47540"/>
  <c r="F1301" i="47540"/>
  <c r="F1321" i="47540"/>
  <c r="F1345" i="47540"/>
  <c r="F1365" i="47540"/>
  <c r="F1385" i="47540"/>
  <c r="F1409" i="47540"/>
  <c r="F1429" i="47540"/>
  <c r="F1449" i="47540"/>
  <c r="F60" i="47540"/>
  <c r="F100" i="47540"/>
  <c r="F140" i="47540"/>
  <c r="F196" i="47540"/>
  <c r="F236" i="47540"/>
  <c r="F276" i="47540"/>
  <c r="F324" i="47540"/>
  <c r="F364" i="47540"/>
  <c r="F412" i="47540"/>
  <c r="F604" i="47540"/>
  <c r="F764" i="47540"/>
  <c r="F924" i="47540"/>
  <c r="F1076" i="47540"/>
  <c r="F1156" i="47540"/>
  <c r="F1236" i="47540"/>
  <c r="F1332" i="47540"/>
  <c r="F1412" i="47540"/>
  <c r="F468" i="47540"/>
  <c r="F660" i="47540"/>
  <c r="F820" i="47540"/>
  <c r="F980" i="47540"/>
  <c r="F1104" i="47540"/>
  <c r="F1184" i="47540"/>
  <c r="F1264" i="47540"/>
  <c r="F1360" i="47540"/>
  <c r="F1440" i="47540"/>
  <c r="F524" i="47540"/>
  <c r="F716" i="47540"/>
  <c r="F876" i="47540"/>
  <c r="F1036" i="47540"/>
  <c r="F1132" i="47540"/>
  <c r="F1212" i="47540"/>
  <c r="F1292" i="47540"/>
  <c r="F1388" i="47540"/>
  <c r="F420" i="47540"/>
  <c r="F580" i="47540"/>
  <c r="F772" i="47540"/>
  <c r="F932" i="47540"/>
  <c r="F1064" i="47540"/>
  <c r="F1160" i="47540"/>
  <c r="F1240" i="47540"/>
  <c r="F1320" i="47540"/>
  <c r="F1416" i="47540"/>
  <c r="F35" i="47540"/>
  <c r="F59" i="47540"/>
  <c r="F91" i="47540"/>
  <c r="F119" i="47540"/>
  <c r="F147" i="47540"/>
  <c r="F179" i="47540"/>
  <c r="F203" i="47540"/>
  <c r="F231" i="47540"/>
  <c r="F263" i="47540"/>
  <c r="F291" i="47540"/>
  <c r="F315" i="47540"/>
  <c r="F347" i="47540"/>
  <c r="F375" i="47540"/>
  <c r="F403" i="47540"/>
  <c r="F435" i="47540"/>
  <c r="F459" i="47540"/>
  <c r="F487" i="47540"/>
  <c r="F519" i="47540"/>
  <c r="F547" i="47540"/>
  <c r="F571" i="47540"/>
  <c r="F603" i="47540"/>
  <c r="F631" i="47540"/>
  <c r="F659" i="47540"/>
  <c r="F691" i="47540"/>
  <c r="F715" i="47540"/>
  <c r="F743" i="47540"/>
  <c r="F775" i="47540"/>
  <c r="F803" i="47540"/>
  <c r="F827" i="47540"/>
  <c r="F859" i="47540"/>
  <c r="F887" i="47540"/>
  <c r="F915" i="47540"/>
  <c r="F947" i="47540"/>
  <c r="F971" i="47540"/>
  <c r="F999" i="47540"/>
  <c r="F1031" i="47540"/>
  <c r="F34" i="47540"/>
  <c r="F58" i="47540"/>
  <c r="F90" i="47540"/>
  <c r="F118" i="47540"/>
  <c r="F146" i="47540"/>
  <c r="F178" i="47540"/>
  <c r="F202" i="47540"/>
  <c r="F230" i="47540"/>
  <c r="F262" i="47540"/>
  <c r="F290" i="47540"/>
  <c r="F314" i="47540"/>
  <c r="F346" i="47540"/>
  <c r="F374" i="47540"/>
  <c r="F402" i="47540"/>
  <c r="F434" i="47540"/>
  <c r="F458" i="47540"/>
  <c r="F486" i="47540"/>
  <c r="F518" i="47540"/>
  <c r="F546" i="47540"/>
  <c r="F570" i="47540"/>
  <c r="F602" i="47540"/>
  <c r="F630" i="47540"/>
  <c r="F658" i="47540"/>
  <c r="F690" i="47540"/>
  <c r="F714" i="47540"/>
  <c r="F742" i="47540"/>
  <c r="F774" i="47540"/>
  <c r="F802" i="47540"/>
  <c r="F826" i="47540"/>
  <c r="F858" i="47540"/>
  <c r="F886" i="47540"/>
  <c r="F914" i="47540"/>
  <c r="F946" i="47540"/>
  <c r="F970" i="47540"/>
  <c r="F998" i="47540"/>
  <c r="F1030" i="47540"/>
  <c r="F57" i="47540"/>
  <c r="F105" i="47540"/>
  <c r="F169" i="47540"/>
  <c r="F225" i="47540"/>
  <c r="F281" i="47540"/>
  <c r="F345" i="47540"/>
  <c r="F393" i="47540"/>
  <c r="F449" i="47540"/>
  <c r="F513" i="47540"/>
  <c r="F569" i="47540"/>
  <c r="F617" i="47540"/>
  <c r="F681" i="47540"/>
  <c r="F737" i="47540"/>
  <c r="F793" i="47540"/>
  <c r="F857" i="47540"/>
  <c r="F905" i="47540"/>
  <c r="F961" i="47540"/>
  <c r="F1025" i="47540"/>
  <c r="F1059" i="47540"/>
  <c r="F1083" i="47540"/>
  <c r="F1115" i="47540"/>
  <c r="F1143" i="47540"/>
  <c r="F1171" i="47540"/>
  <c r="F1203" i="47540"/>
  <c r="F1227" i="47540"/>
  <c r="F1255" i="47540"/>
  <c r="F1287" i="47540"/>
  <c r="F1315" i="47540"/>
  <c r="F1339" i="47540"/>
  <c r="F1371" i="47540"/>
  <c r="F1399" i="47540"/>
  <c r="F1427" i="47540"/>
  <c r="F24" i="47540"/>
  <c r="F72" i="47540"/>
  <c r="F128" i="47540"/>
  <c r="F192" i="47540"/>
  <c r="F248" i="47540"/>
  <c r="F296" i="47540"/>
  <c r="F360" i="47540"/>
  <c r="F416" i="47540"/>
  <c r="F472" i="47540"/>
  <c r="F536" i="47540"/>
  <c r="F584" i="47540"/>
  <c r="F640" i="47540"/>
  <c r="F704" i="47540"/>
  <c r="F760" i="47540"/>
  <c r="F808" i="47540"/>
  <c r="F872" i="47540"/>
  <c r="F928" i="47540"/>
  <c r="F984" i="47540"/>
  <c r="F1042" i="47540"/>
  <c r="F1066" i="47540"/>
  <c r="F1094" i="47540"/>
  <c r="F1126" i="47540"/>
  <c r="F1154" i="47540"/>
  <c r="F1178" i="47540"/>
  <c r="F1210" i="47540"/>
  <c r="F1238" i="47540"/>
  <c r="F1266" i="47540"/>
  <c r="F1298" i="47540"/>
  <c r="F1322" i="47540"/>
  <c r="F1350" i="47540"/>
  <c r="F1382" i="47540"/>
  <c r="F1410" i="47540"/>
  <c r="F1434" i="47540"/>
  <c r="F37" i="47540"/>
  <c r="F93" i="47540"/>
  <c r="F149" i="47540"/>
  <c r="F213" i="47540"/>
  <c r="F261" i="47540"/>
  <c r="F317" i="47540"/>
  <c r="F381" i="47540"/>
  <c r="F437" i="47540"/>
  <c r="F485" i="47540"/>
  <c r="F549" i="47540"/>
  <c r="F605" i="47540"/>
  <c r="F661" i="47540"/>
  <c r="F725" i="47540"/>
  <c r="F773" i="47540"/>
  <c r="F829" i="47540"/>
  <c r="F893" i="47540"/>
  <c r="F949" i="47540"/>
  <c r="F997" i="47540"/>
  <c r="F1049" i="47540"/>
  <c r="F1077" i="47540"/>
  <c r="F1105" i="47540"/>
  <c r="F1137" i="47540"/>
  <c r="F1161" i="47540"/>
  <c r="F1189" i="47540"/>
  <c r="F1221" i="47540"/>
  <c r="F1249" i="47540"/>
  <c r="F1273" i="47540"/>
  <c r="F1305" i="47540"/>
  <c r="F1333" i="47540"/>
  <c r="F1361" i="47540"/>
  <c r="F1393" i="47540"/>
  <c r="F1417" i="47540"/>
  <c r="F1445" i="47540"/>
  <c r="F68" i="47540"/>
  <c r="F124" i="47540"/>
  <c r="F180" i="47540"/>
  <c r="F244" i="47540"/>
  <c r="F300" i="47540"/>
  <c r="F356" i="47540"/>
  <c r="F476" i="47540"/>
  <c r="F668" i="47540"/>
  <c r="F892" i="47540"/>
  <c r="F1092" i="47540"/>
  <c r="F1204" i="47540"/>
  <c r="F1300" i="47540"/>
  <c r="F1428" i="47540"/>
  <c r="F564" i="47540"/>
  <c r="F788" i="47540"/>
  <c r="F1040" i="47540"/>
  <c r="F1136" i="47540"/>
  <c r="F1248" i="47540"/>
  <c r="F1376" i="47540"/>
  <c r="F460" i="47540"/>
  <c r="F652" i="47540"/>
  <c r="F908" i="47540"/>
  <c r="F1084" i="47540"/>
  <c r="F1196" i="47540"/>
  <c r="F1324" i="47540"/>
  <c r="F1420" i="47540"/>
  <c r="F548" i="47540"/>
  <c r="F804" i="47540"/>
  <c r="F1028" i="47540"/>
  <c r="F1128" i="47540"/>
  <c r="F1256" i="47540"/>
  <c r="F1368" i="47540"/>
  <c r="F19" i="47540"/>
  <c r="F51" i="47540"/>
  <c r="F75" i="47540"/>
  <c r="F103" i="47540"/>
  <c r="F135" i="47540"/>
  <c r="F163" i="47540"/>
  <c r="F187" i="47540"/>
  <c r="F219" i="47540"/>
  <c r="F247" i="47540"/>
  <c r="F275" i="47540"/>
  <c r="F307" i="47540"/>
  <c r="F331" i="47540"/>
  <c r="F359" i="47540"/>
  <c r="F391" i="47540"/>
  <c r="F419" i="47540"/>
  <c r="F443" i="47540"/>
  <c r="F475" i="47540"/>
  <c r="F503" i="47540"/>
  <c r="F531" i="47540"/>
  <c r="F563" i="47540"/>
  <c r="F587" i="47540"/>
  <c r="F615" i="47540"/>
  <c r="F647" i="47540"/>
  <c r="F675" i="47540"/>
  <c r="F699" i="47540"/>
  <c r="F731" i="47540"/>
  <c r="F759" i="47540"/>
  <c r="F787" i="47540"/>
  <c r="F819" i="47540"/>
  <c r="F843" i="47540"/>
  <c r="F871" i="47540"/>
  <c r="F903" i="47540"/>
  <c r="F931" i="47540"/>
  <c r="F955" i="47540"/>
  <c r="F987" i="47540"/>
  <c r="F1015" i="47540"/>
  <c r="F18" i="47540"/>
  <c r="F50" i="47540"/>
  <c r="F74" i="47540"/>
  <c r="F102" i="47540"/>
  <c r="F134" i="47540"/>
  <c r="F162" i="47540"/>
  <c r="F186" i="47540"/>
  <c r="F218" i="47540"/>
  <c r="F246" i="47540"/>
  <c r="F274" i="47540"/>
  <c r="F306" i="47540"/>
  <c r="F330" i="47540"/>
  <c r="F358" i="47540"/>
  <c r="F390" i="47540"/>
  <c r="F418" i="47540"/>
  <c r="F442" i="47540"/>
  <c r="F474" i="47540"/>
  <c r="F502" i="47540"/>
  <c r="F530" i="47540"/>
  <c r="F562" i="47540"/>
  <c r="F586" i="47540"/>
  <c r="F614" i="47540"/>
  <c r="F646" i="47540"/>
  <c r="F674" i="47540"/>
  <c r="F698" i="47540"/>
  <c r="F730" i="47540"/>
  <c r="F758" i="47540"/>
  <c r="F786" i="47540"/>
  <c r="F818" i="47540"/>
  <c r="F842" i="47540"/>
  <c r="F870" i="47540"/>
  <c r="F902" i="47540"/>
  <c r="F930" i="47540"/>
  <c r="F954" i="47540"/>
  <c r="F986" i="47540"/>
  <c r="F1014" i="47540"/>
  <c r="F25" i="47540"/>
  <c r="F89" i="47540"/>
  <c r="F137" i="47540"/>
  <c r="F193" i="47540"/>
  <c r="F257" i="47540"/>
  <c r="F313" i="47540"/>
  <c r="F361" i="47540"/>
  <c r="F425" i="47540"/>
  <c r="F481" i="47540"/>
  <c r="F537" i="47540"/>
  <c r="F601" i="47540"/>
  <c r="F649" i="47540"/>
  <c r="F705" i="47540"/>
  <c r="F769" i="47540"/>
  <c r="F825" i="47540"/>
  <c r="F873" i="47540"/>
  <c r="F937" i="47540"/>
  <c r="F993" i="47540"/>
  <c r="F1043" i="47540"/>
  <c r="F1075" i="47540"/>
  <c r="F1099" i="47540"/>
  <c r="F1127" i="47540"/>
  <c r="F1159" i="47540"/>
  <c r="F1187" i="47540"/>
  <c r="F1211" i="47540"/>
  <c r="F1243" i="47540"/>
  <c r="F1271" i="47540"/>
  <c r="F1299" i="47540"/>
  <c r="F1331" i="47540"/>
  <c r="F1355" i="47540"/>
  <c r="F1383" i="47540"/>
  <c r="F1415" i="47540"/>
  <c r="F1443" i="47540"/>
  <c r="F40" i="47540"/>
  <c r="F104" i="47540"/>
  <c r="F160" i="47540"/>
  <c r="F216" i="47540"/>
  <c r="F280" i="47540"/>
  <c r="F328" i="47540"/>
  <c r="F384" i="47540"/>
  <c r="F448" i="47540"/>
  <c r="F504" i="47540"/>
  <c r="F552" i="47540"/>
  <c r="F616" i="47540"/>
  <c r="F672" i="47540"/>
  <c r="F728" i="47540"/>
  <c r="F792" i="47540"/>
  <c r="F840" i="47540"/>
  <c r="F896" i="47540"/>
  <c r="F960" i="47540"/>
  <c r="F1016" i="47540"/>
  <c r="F1050" i="47540"/>
  <c r="F1082" i="47540"/>
  <c r="F1110" i="47540"/>
  <c r="F1138" i="47540"/>
  <c r="F1170" i="47540"/>
  <c r="F1194" i="47540"/>
  <c r="F1222" i="47540"/>
  <c r="F1254" i="47540"/>
  <c r="F1282" i="47540"/>
  <c r="F1306" i="47540"/>
  <c r="F1338" i="47540"/>
  <c r="F1366" i="47540"/>
  <c r="F1394" i="47540"/>
  <c r="F1426" i="47540"/>
  <c r="F1450" i="47540"/>
  <c r="F61" i="47540"/>
  <c r="F125" i="47540"/>
  <c r="F181" i="47540"/>
  <c r="F229" i="47540"/>
  <c r="F293" i="47540"/>
  <c r="F349" i="47540"/>
  <c r="F405" i="47540"/>
  <c r="F469" i="47540"/>
  <c r="F517" i="47540"/>
  <c r="F573" i="47540"/>
  <c r="F637" i="47540"/>
  <c r="F693" i="47540"/>
  <c r="F741" i="47540"/>
  <c r="F805" i="47540"/>
  <c r="F861" i="47540"/>
  <c r="F917" i="47540"/>
  <c r="F981" i="47540"/>
  <c r="F1029" i="47540"/>
  <c r="F1061" i="47540"/>
  <c r="F1093" i="47540"/>
  <c r="F1121" i="47540"/>
  <c r="F1145" i="47540"/>
  <c r="F1177" i="47540"/>
  <c r="F1205" i="47540"/>
  <c r="F1233" i="47540"/>
  <c r="F1265" i="47540"/>
  <c r="F1289" i="47540"/>
  <c r="F1317" i="47540"/>
  <c r="F1349" i="47540"/>
  <c r="F1377" i="47540"/>
  <c r="F1401" i="47540"/>
  <c r="F1433" i="47540"/>
  <c r="F36" i="47540"/>
  <c r="F92" i="47540"/>
  <c r="F156" i="47540"/>
  <c r="F212" i="47540"/>
  <c r="F268" i="47540"/>
  <c r="F332" i="47540"/>
  <c r="F388" i="47540"/>
  <c r="F540" i="47540"/>
  <c r="F796" i="47540"/>
  <c r="F1020" i="47540"/>
  <c r="F1140" i="47540"/>
  <c r="F1268" i="47540"/>
  <c r="F1364" i="47540"/>
  <c r="F436" i="47540"/>
  <c r="F692" i="47540"/>
  <c r="F916" i="47540"/>
  <c r="F1072" i="47540"/>
  <c r="F1200" i="47540"/>
  <c r="F1312" i="47540"/>
  <c r="F1424" i="47540"/>
  <c r="F588" i="47540"/>
  <c r="F780" i="47540"/>
  <c r="F1004" i="47540"/>
  <c r="F1148" i="47540"/>
  <c r="F1260" i="47540"/>
  <c r="F1356" i="47540"/>
  <c r="F452" i="47540"/>
  <c r="F676" i="47540"/>
  <c r="F900" i="47540"/>
  <c r="F1096" i="47540"/>
  <c r="F1192" i="47540"/>
  <c r="F1304" i="47540"/>
  <c r="F1432" i="47540"/>
  <c r="F39" i="47540"/>
  <c r="F99" i="47540"/>
  <c r="F155" i="47540"/>
  <c r="F211" i="47540"/>
  <c r="F267" i="47540"/>
  <c r="F327" i="47540"/>
  <c r="F379" i="47540"/>
  <c r="F439" i="47540"/>
  <c r="F499" i="47540"/>
  <c r="F551" i="47540"/>
  <c r="F611" i="47540"/>
  <c r="F667" i="47540"/>
  <c r="F723" i="47540"/>
  <c r="F779" i="47540"/>
  <c r="F839" i="47540"/>
  <c r="F891" i="47540"/>
  <c r="F951" i="47540"/>
  <c r="F1011" i="47540"/>
  <c r="F38" i="47540"/>
  <c r="F98" i="47540"/>
  <c r="F154" i="47540"/>
  <c r="F210" i="47540"/>
  <c r="F266" i="47540"/>
  <c r="F326" i="47540"/>
  <c r="F378" i="47540"/>
  <c r="F438" i="47540"/>
  <c r="F498" i="47540"/>
  <c r="F550" i="47540"/>
  <c r="F610" i="47540"/>
  <c r="F666" i="47540"/>
  <c r="F722" i="47540"/>
  <c r="F778" i="47540"/>
  <c r="F838" i="47540"/>
  <c r="F890" i="47540"/>
  <c r="F950" i="47540"/>
  <c r="F1010" i="47540"/>
  <c r="F65" i="47540"/>
  <c r="F185" i="47540"/>
  <c r="F297" i="47540"/>
  <c r="F409" i="47540"/>
  <c r="F521" i="47540"/>
  <c r="F641" i="47540"/>
  <c r="F745" i="47540"/>
  <c r="F865" i="47540"/>
  <c r="F985" i="47540"/>
  <c r="F1063" i="47540"/>
  <c r="F1123" i="47540"/>
  <c r="F1179" i="47540"/>
  <c r="F1235" i="47540"/>
  <c r="F1291" i="47540"/>
  <c r="F1351" i="47540"/>
  <c r="F1403" i="47540"/>
  <c r="F32" i="47540"/>
  <c r="F152" i="47540"/>
  <c r="F256" i="47540"/>
  <c r="F376" i="47540"/>
  <c r="F488" i="47540"/>
  <c r="F600" i="47540"/>
  <c r="F712" i="47540"/>
  <c r="F832" i="47540"/>
  <c r="F936" i="47540"/>
  <c r="F1046" i="47540"/>
  <c r="F1106" i="47540"/>
  <c r="F1158" i="47540"/>
  <c r="F1218" i="47540"/>
  <c r="F1274" i="47540"/>
  <c r="F1330" i="47540"/>
  <c r="F1386" i="47540"/>
  <c r="F1446" i="47540"/>
  <c r="F101" i="47540"/>
  <c r="F221" i="47540"/>
  <c r="F341" i="47540"/>
  <c r="F445" i="47540"/>
  <c r="F565" i="47540"/>
  <c r="F677" i="47540"/>
  <c r="F789" i="47540"/>
  <c r="F901" i="47540"/>
  <c r="F1021" i="47540"/>
  <c r="F1081" i="47540"/>
  <c r="F1141" i="47540"/>
  <c r="F1201" i="47540"/>
  <c r="F1253" i="47540"/>
  <c r="F1313" i="47540"/>
  <c r="F1369" i="47540"/>
  <c r="F1425" i="47540"/>
  <c r="F76" i="47540"/>
  <c r="F204" i="47540"/>
  <c r="F308" i="47540"/>
  <c r="F508" i="47540"/>
  <c r="F988" i="47540"/>
  <c r="F1220" i="47540"/>
  <c r="F404" i="47540"/>
  <c r="F852" i="47540"/>
  <c r="F1168" i="47540"/>
  <c r="F1392" i="47540"/>
  <c r="F748" i="47540"/>
  <c r="F1100" i="47540"/>
  <c r="F1340" i="47540"/>
  <c r="F644" i="47540"/>
  <c r="F1048" i="47540"/>
  <c r="F1288" i="47540"/>
  <c r="F55" i="47540"/>
  <c r="F115" i="47540"/>
  <c r="F167" i="47540"/>
  <c r="F227" i="47540"/>
  <c r="F283" i="47540"/>
  <c r="F339" i="47540"/>
  <c r="F395" i="47540"/>
  <c r="F455" i="47540"/>
  <c r="F507" i="47540"/>
  <c r="F567" i="47540"/>
  <c r="F627" i="47540"/>
  <c r="F679" i="47540"/>
  <c r="F739" i="47540"/>
  <c r="F795" i="47540"/>
  <c r="F851" i="47540"/>
  <c r="F907" i="47540"/>
  <c r="F967" i="47540"/>
  <c r="F1019" i="47540"/>
  <c r="F54" i="47540"/>
  <c r="F114" i="47540"/>
  <c r="F166" i="47540"/>
  <c r="F226" i="47540"/>
  <c r="F282" i="47540"/>
  <c r="F338" i="47540"/>
  <c r="F394" i="47540"/>
  <c r="F454" i="47540"/>
  <c r="F506" i="47540"/>
  <c r="F566" i="47540"/>
  <c r="F626" i="47540"/>
  <c r="F678" i="47540"/>
  <c r="F738" i="47540"/>
  <c r="F794" i="47540"/>
  <c r="F850" i="47540"/>
  <c r="F906" i="47540"/>
  <c r="F966" i="47540"/>
  <c r="F1018" i="47540"/>
  <c r="F97" i="47540"/>
  <c r="F217" i="47540"/>
  <c r="F321" i="47540"/>
  <c r="F441" i="47540"/>
  <c r="F553" i="47540"/>
  <c r="F665" i="47540"/>
  <c r="F777" i="47540"/>
  <c r="F897" i="47540"/>
  <c r="F1001" i="47540"/>
  <c r="F1079" i="47540"/>
  <c r="F1139" i="47540"/>
  <c r="F1191" i="47540"/>
  <c r="F1251" i="47540"/>
  <c r="F1307" i="47540"/>
  <c r="F1363" i="47540"/>
  <c r="F1419" i="47540"/>
  <c r="F64" i="47540"/>
  <c r="F168" i="47540"/>
  <c r="F288" i="47540"/>
  <c r="F408" i="47540"/>
  <c r="F512" i="47540"/>
  <c r="F632" i="47540"/>
  <c r="F744" i="47540"/>
  <c r="F856" i="47540"/>
  <c r="F968" i="47540"/>
  <c r="F1062" i="47540"/>
  <c r="F1114" i="47540"/>
  <c r="F1174" i="47540"/>
  <c r="F1234" i="47540"/>
  <c r="F1286" i="47540"/>
  <c r="F1346" i="47540"/>
  <c r="F1402" i="47540"/>
  <c r="F21" i="47540"/>
  <c r="F133" i="47540"/>
  <c r="F253" i="47540"/>
  <c r="F357" i="47540"/>
  <c r="F477" i="47540"/>
  <c r="F597" i="47540"/>
  <c r="F701" i="47540"/>
  <c r="F821" i="47540"/>
  <c r="F933" i="47540"/>
  <c r="F1041" i="47540"/>
  <c r="F1097" i="47540"/>
  <c r="F1157" i="47540"/>
  <c r="F1209" i="47540"/>
  <c r="F1269" i="47540"/>
  <c r="F1329" i="47540"/>
  <c r="F1381" i="47540"/>
  <c r="F1441" i="47540"/>
  <c r="F108" i="47540"/>
  <c r="F228" i="47540"/>
  <c r="F340" i="47540"/>
  <c r="F636" i="47540"/>
  <c r="F1044" i="47540"/>
  <c r="F1284" i="47540"/>
  <c r="F532" i="47540"/>
  <c r="F948" i="47540"/>
  <c r="F1232" i="47540"/>
  <c r="F172" i="47540"/>
  <c r="F844" i="47540"/>
  <c r="F1164" i="47540"/>
  <c r="F1404" i="47540"/>
  <c r="F708" i="47540"/>
  <c r="F1112" i="47540"/>
  <c r="F1352" i="47540"/>
  <c r="F71" i="47540"/>
  <c r="F123" i="47540"/>
  <c r="F183" i="47540"/>
  <c r="F243" i="47540"/>
  <c r="F295" i="47540"/>
  <c r="F355" i="47540"/>
  <c r="F411" i="47540"/>
  <c r="F467" i="47540"/>
  <c r="F523" i="47540"/>
  <c r="F583" i="47540"/>
  <c r="F635" i="47540"/>
  <c r="F695" i="47540"/>
  <c r="F755" i="47540"/>
  <c r="F807" i="47540"/>
  <c r="F867" i="47540"/>
  <c r="F923" i="47540"/>
  <c r="F979" i="47540"/>
  <c r="F1035" i="47540"/>
  <c r="F70" i="47540"/>
  <c r="F122" i="47540"/>
  <c r="F182" i="47540"/>
  <c r="F242" i="47540"/>
  <c r="F294" i="47540"/>
  <c r="F354" i="47540"/>
  <c r="F410" i="47540"/>
  <c r="F466" i="47540"/>
  <c r="F522" i="47540"/>
  <c r="F582" i="47540"/>
  <c r="F634" i="47540"/>
  <c r="F694" i="47540"/>
  <c r="F754" i="47540"/>
  <c r="F806" i="47540"/>
  <c r="F866" i="47540"/>
  <c r="F922" i="47540"/>
  <c r="F978" i="47540"/>
  <c r="F1034" i="47540"/>
  <c r="F129" i="47540"/>
  <c r="F233" i="47540"/>
  <c r="F353" i="47540"/>
  <c r="F473" i="47540"/>
  <c r="F577" i="47540"/>
  <c r="F697" i="47540"/>
  <c r="F809" i="47540"/>
  <c r="F921" i="47540"/>
  <c r="F1033" i="47540"/>
  <c r="F1095" i="47540"/>
  <c r="F1147" i="47540"/>
  <c r="F1207" i="47540"/>
  <c r="F1267" i="47540"/>
  <c r="F1319" i="47540"/>
  <c r="F1379" i="47540"/>
  <c r="F1435" i="47540"/>
  <c r="F88" i="47540"/>
  <c r="F200" i="47540"/>
  <c r="F320" i="47540"/>
  <c r="F424" i="47540"/>
  <c r="F544" i="47540"/>
  <c r="F664" i="47540"/>
  <c r="F768" i="47540"/>
  <c r="F888" i="47540"/>
  <c r="F1000" i="47540"/>
  <c r="F1074" i="47540"/>
  <c r="F1130" i="47540"/>
  <c r="F1190" i="47540"/>
  <c r="F1242" i="47540"/>
  <c r="F1302" i="47540"/>
  <c r="F1362" i="47540"/>
  <c r="F1414" i="47540"/>
  <c r="F53" i="47540"/>
  <c r="F165" i="47540"/>
  <c r="F277" i="47540"/>
  <c r="F389" i="47540"/>
  <c r="F509" i="47540"/>
  <c r="F613" i="47540"/>
  <c r="F733" i="47540"/>
  <c r="F853" i="47540"/>
  <c r="F957" i="47540"/>
  <c r="F1057" i="47540"/>
  <c r="F1113" i="47540"/>
  <c r="F1169" i="47540"/>
  <c r="F1225" i="47540"/>
  <c r="F1285" i="47540"/>
  <c r="F1337" i="47540"/>
  <c r="F1397" i="47540"/>
  <c r="F28" i="47540"/>
  <c r="F132" i="47540"/>
  <c r="F260" i="47540"/>
  <c r="F372" i="47540"/>
  <c r="F732" i="47540"/>
  <c r="F1108" i="47540"/>
  <c r="F1348" i="47540"/>
  <c r="F596" i="47540"/>
  <c r="F1056" i="47540"/>
  <c r="F1296" i="47540"/>
  <c r="F492" i="47540"/>
  <c r="F972" i="47540"/>
  <c r="F1228" i="47540"/>
  <c r="F1452" i="47540"/>
  <c r="F836" i="47540"/>
  <c r="F1176" i="47540"/>
  <c r="F1384" i="47540"/>
  <c r="F27" i="47540"/>
  <c r="F83" i="47540"/>
  <c r="F139" i="47540"/>
  <c r="F199" i="47540"/>
  <c r="F251" i="47540"/>
  <c r="F311" i="47540"/>
  <c r="F371" i="47540"/>
  <c r="F423" i="47540"/>
  <c r="F483" i="47540"/>
  <c r="F539" i="47540"/>
  <c r="F595" i="47540"/>
  <c r="F651" i="47540"/>
  <c r="F711" i="47540"/>
  <c r="F763" i="47540"/>
  <c r="F823" i="47540"/>
  <c r="F883" i="47540"/>
  <c r="F935" i="47540"/>
  <c r="F995" i="47540"/>
  <c r="F26" i="47540"/>
  <c r="F82" i="47540"/>
  <c r="F138" i="47540"/>
  <c r="F198" i="47540"/>
  <c r="F250" i="47540"/>
  <c r="F310" i="47540"/>
  <c r="F370" i="47540"/>
  <c r="F422" i="47540"/>
  <c r="F482" i="47540"/>
  <c r="F538" i="47540"/>
  <c r="F594" i="47540"/>
  <c r="F650" i="47540"/>
  <c r="F710" i="47540"/>
  <c r="F762" i="47540"/>
  <c r="F822" i="47540"/>
  <c r="F882" i="47540"/>
  <c r="F934" i="47540"/>
  <c r="F994" i="47540"/>
  <c r="F41" i="47540"/>
  <c r="F153" i="47540"/>
  <c r="F265" i="47540"/>
  <c r="F385" i="47540"/>
  <c r="F489" i="47540"/>
  <c r="F609" i="47540"/>
  <c r="F729" i="47540"/>
  <c r="F833" i="47540"/>
  <c r="F953" i="47540"/>
  <c r="F1051" i="47540"/>
  <c r="F1107" i="47540"/>
  <c r="F1163" i="47540"/>
  <c r="F1223" i="47540"/>
  <c r="F1275" i="47540"/>
  <c r="F1335" i="47540"/>
  <c r="F1395" i="47540"/>
  <c r="F1447" i="47540"/>
  <c r="F120" i="47540"/>
  <c r="F232" i="47540"/>
  <c r="F344" i="47540"/>
  <c r="F456" i="47540"/>
  <c r="F576" i="47540"/>
  <c r="F680" i="47540"/>
  <c r="F800" i="47540"/>
  <c r="F920" i="47540"/>
  <c r="F1024" i="47540"/>
  <c r="F1090" i="47540"/>
  <c r="F1146" i="47540"/>
  <c r="F1202" i="47540"/>
  <c r="F1258" i="47540"/>
  <c r="F1318" i="47540"/>
  <c r="F1370" i="47540"/>
  <c r="F1430" i="47540"/>
  <c r="F85" i="47540"/>
  <c r="F189" i="47540"/>
  <c r="F309" i="47540"/>
  <c r="F421" i="47540"/>
  <c r="F533" i="47540"/>
  <c r="F645" i="47540"/>
  <c r="F765" i="47540"/>
  <c r="F869" i="47540"/>
  <c r="F989" i="47540"/>
  <c r="F1073" i="47540"/>
  <c r="F1125" i="47540"/>
  <c r="F1185" i="47540"/>
  <c r="F1241" i="47540"/>
  <c r="F1297" i="47540"/>
  <c r="F1353" i="47540"/>
  <c r="F1413" i="47540"/>
  <c r="F44" i="47540"/>
  <c r="F164" i="47540"/>
  <c r="F292" i="47540"/>
  <c r="F396" i="47540"/>
  <c r="F860" i="47540"/>
  <c r="F1172" i="47540"/>
  <c r="F1396" i="47540"/>
  <c r="F724" i="47540"/>
  <c r="F1120" i="47540"/>
  <c r="F1328" i="47540"/>
  <c r="F620" i="47540"/>
  <c r="F1068" i="47540"/>
  <c r="F1276" i="47540"/>
  <c r="F516" i="47540"/>
  <c r="F964" i="47540"/>
  <c r="F1224" i="47540"/>
  <c r="F1448" i="47540"/>
</calcChain>
</file>

<file path=xl/sharedStrings.xml><?xml version="1.0" encoding="utf-8"?>
<sst xmlns="http://schemas.openxmlformats.org/spreadsheetml/2006/main" count="1051" uniqueCount="1046">
  <si>
    <t>FECHA</t>
  </si>
  <si>
    <t>HORA</t>
  </si>
  <si>
    <t>Fecha:</t>
  </si>
  <si>
    <t>Hora:</t>
  </si>
  <si>
    <t>Inicio</t>
  </si>
  <si>
    <t>Fin</t>
  </si>
  <si>
    <t>Tipo:</t>
  </si>
  <si>
    <t>Descripción</t>
  </si>
  <si>
    <t>ID</t>
  </si>
  <si>
    <t>ACTIVOS</t>
  </si>
  <si>
    <t>Diario</t>
  </si>
  <si>
    <t>Mensual</t>
  </si>
  <si>
    <t>TIPO</t>
  </si>
  <si>
    <t>Numero</t>
  </si>
  <si>
    <t>1100FE001   Corriente salida del Motor</t>
  </si>
  <si>
    <t>Tag</t>
  </si>
  <si>
    <t>SRV002.M1100FE001PAR_1.F_CV</t>
  </si>
  <si>
    <t>Ninguna Variable seleccionada</t>
  </si>
  <si>
    <t>1000CV002   Corriente salida del Motor</t>
  </si>
  <si>
    <t>2000PC001   Corriente Promedio</t>
  </si>
  <si>
    <t>2000CV001   Corriente Promedio</t>
  </si>
  <si>
    <t>1000BF001   Flujo de Carga</t>
  </si>
  <si>
    <t>Tag - Descripción</t>
  </si>
  <si>
    <t>SRV002.M1000CV002PAR_1.F_CV</t>
  </si>
  <si>
    <t>SRV002.M2000PC001CURR_0.F_CV</t>
  </si>
  <si>
    <t>SRV002.M2000CV001CURR_0.F_CV</t>
  </si>
  <si>
    <t>SRV002.V1000BF001RATE.F_CV</t>
  </si>
  <si>
    <t>SRV002.A3000CP001_P_REAL.F_CV</t>
  </si>
  <si>
    <t>SRV002.A3000CP002_P_REAL.F_CV</t>
  </si>
  <si>
    <t>SRV002.A3000TIT3010101_REAL.F_CV</t>
  </si>
  <si>
    <t>SRV002.A3000TIT3030101_REAL.F_CV</t>
  </si>
  <si>
    <t>SRV002.ARGCU_76.F_CV</t>
  </si>
  <si>
    <t>SRV002.ARGCU_77.F_CV</t>
  </si>
  <si>
    <t>SRV002.ARGCU_78.F_CV</t>
  </si>
  <si>
    <t>SRV002.ARGCU_79.F_CV</t>
  </si>
  <si>
    <t>SRV002.ARGCU_80.F_CV</t>
  </si>
  <si>
    <t>SRV002.AVRLV_76.F_CV</t>
  </si>
  <si>
    <t>SRV002.AVRLV_77.F_CV</t>
  </si>
  <si>
    <t>SRV002.AVRLV_78.F_CV</t>
  </si>
  <si>
    <t>SRV002.AVRLV_79.F_CV</t>
  </si>
  <si>
    <t>SRV002.AVRLV_80.F_CV</t>
  </si>
  <si>
    <t>SRV002.EREACTNEG_76.F_CV</t>
  </si>
  <si>
    <t>SRV002.EREACTNEG_77.F_CV</t>
  </si>
  <si>
    <t>SRV002.EREACTNEG_78.F_CV</t>
  </si>
  <si>
    <t>SRV002.EREACTNEG_79.F_CV</t>
  </si>
  <si>
    <t>SRV002.EREACTNEG_80.F_CV</t>
  </si>
  <si>
    <t>SRV002.EREACTPOS_76.F_CV</t>
  </si>
  <si>
    <t>SRV002.EREACTPOS_77.F_CV</t>
  </si>
  <si>
    <t>SRV002.EREACTPOS_78.F_CV</t>
  </si>
  <si>
    <t>SRV002.EREACTPOS_79.F_CV</t>
  </si>
  <si>
    <t>SRV002.EREACTPOS_80.F_CV</t>
  </si>
  <si>
    <t>SRV002.F11_BOP_CL.F_CV</t>
  </si>
  <si>
    <t>SRV002.F11_SNCR.F_CV</t>
  </si>
  <si>
    <t>SRV002.F11_SPABVR.F_CV</t>
  </si>
  <si>
    <t>SRV002.F11_SPACR.F_CV</t>
  </si>
  <si>
    <t>SRV002.F11_SPBCR.F_CV</t>
  </si>
  <si>
    <t>SRV002.F11_SPBCVR.F_CV</t>
  </si>
  <si>
    <t>SRV002.F11_SPCAVR.F_CV</t>
  </si>
  <si>
    <t>SRV002.F11_SPCCR.F_CV</t>
  </si>
  <si>
    <t>SRV002.F11_STPAP.F_CV</t>
  </si>
  <si>
    <t>SRV002.F11_STPPF.F_CV</t>
  </si>
  <si>
    <t>SRV002.F11_STPRP.F_CV</t>
  </si>
  <si>
    <t>SRV002.F11_STPRP1.F_CV</t>
  </si>
  <si>
    <t>SRV002.F21_BOP_CL.F_CV</t>
  </si>
  <si>
    <t>SRV002.F21_SNCR.F_CV</t>
  </si>
  <si>
    <t>SRV002.F21_SPABVR.F_CV</t>
  </si>
  <si>
    <t>SRV002.F21_SPACR.F_CV</t>
  </si>
  <si>
    <t>SRV002.F21_SPBCR.F_CV</t>
  </si>
  <si>
    <t>SRV002.F21_SPBCVR.F_CV</t>
  </si>
  <si>
    <t>SRV002.F21_SPCAVR.F_CV</t>
  </si>
  <si>
    <t>SRV002.F21_SPCCR.F_CV</t>
  </si>
  <si>
    <t>SRV002.F21_STPAP.F_CV</t>
  </si>
  <si>
    <t>SRV002.F21_STPPF.F_CV</t>
  </si>
  <si>
    <t>SRV002.F21_STPRP.F_CV</t>
  </si>
  <si>
    <t>SRV002.F21_STPRP1.F_CV</t>
  </si>
  <si>
    <t>SRV002.F31_BOP_CL.F_CV</t>
  </si>
  <si>
    <t>SRV002.F31_SNCR.F_CV</t>
  </si>
  <si>
    <t>SRV002.F31_SPABVR.F_CV</t>
  </si>
  <si>
    <t>SRV002.F31_SPACR.F_CV</t>
  </si>
  <si>
    <t>SRV002.F31_SPBCR.F_CV</t>
  </si>
  <si>
    <t>SRV002.F31_SPBCVR.F_CV</t>
  </si>
  <si>
    <t>SRV002.F31_SPCAVR.F_CV</t>
  </si>
  <si>
    <t>SRV002.F31_SPCCR.F_CV</t>
  </si>
  <si>
    <t>SRV002.F31_STPAP.F_CV</t>
  </si>
  <si>
    <t>SRV002.F31_STPPF.F_CV</t>
  </si>
  <si>
    <t>SRV002.F31_STPRP.F_CV</t>
  </si>
  <si>
    <t>SRV002.F31_STPRP1.F_CV</t>
  </si>
  <si>
    <t>SRV002.F41_BOP_CL.F_CV</t>
  </si>
  <si>
    <t>SRV002.F41_SNCR.F_CV</t>
  </si>
  <si>
    <t>SRV002.F41_SPABVR.F_CV</t>
  </si>
  <si>
    <t>SRV002.F41_SPACR.F_CV</t>
  </si>
  <si>
    <t>SRV002.F41_SPBCR.F_CV</t>
  </si>
  <si>
    <t>SRV002.F41_SPBCVR.F_CV</t>
  </si>
  <si>
    <t>SRV002.F41_SPCAVR.F_CV</t>
  </si>
  <si>
    <t>SRV002.F41_SPCCR.F_CV</t>
  </si>
  <si>
    <t>SRV002.F41_STPAP.F_CV</t>
  </si>
  <si>
    <t>SRV002.F41_STPPF.F_CV</t>
  </si>
  <si>
    <t>SRV002.F41_STPRP.F_CV</t>
  </si>
  <si>
    <t>SRV002.F41_STPRP1.F_CV</t>
  </si>
  <si>
    <t>SRV002.FG1_BOP_CL.F_CV</t>
  </si>
  <si>
    <t>SRV002.FG1_SNCR.F_CV</t>
  </si>
  <si>
    <t>SRV002.FG1_SPABVR.F_CV</t>
  </si>
  <si>
    <t>SRV002.FG1_SPACR.F_CV</t>
  </si>
  <si>
    <t>SRV002.FG1_SPBCR.F_CV</t>
  </si>
  <si>
    <t>SRV002.FG1_SPBCVR.F_CV</t>
  </si>
  <si>
    <t>SRV002.FG1_SPCAVR.F_CV</t>
  </si>
  <si>
    <t>SRV002.FG1_SPCCR.F_CV</t>
  </si>
  <si>
    <t>SRV002.FG1_STPAP.F_CV</t>
  </si>
  <si>
    <t>SRV002.FG1_STPPF.F_CV</t>
  </si>
  <si>
    <t>SRV002.FG1_STPRP.F_CV</t>
  </si>
  <si>
    <t>SRV002.FG1_STPRP1.F_CV</t>
  </si>
  <si>
    <t>SRV002.FRH_76.F_CV</t>
  </si>
  <si>
    <t>SRV002.FRH_77.F_CV</t>
  </si>
  <si>
    <t>SRV002.FRH_78.F_CV</t>
  </si>
  <si>
    <t>SRV002.FRH_79.F_CV</t>
  </si>
  <si>
    <t>SRV002.FRH_80.F_CV</t>
  </si>
  <si>
    <t>SRV002.M1000CV001CURR_0.F_CV</t>
  </si>
  <si>
    <t>SRV002.M1000CV001CURR_1.F_CV</t>
  </si>
  <si>
    <t>SRV002.M1000CV001CURR_2.F_CV</t>
  </si>
  <si>
    <t>SRV002.M1000CV001CURR_3.F_CV</t>
  </si>
  <si>
    <t>SRV002.M1000CV001HRS.F_CV</t>
  </si>
  <si>
    <t>SRV002.M1000CV001POT_0.F_CV</t>
  </si>
  <si>
    <t>SRV002.M1000CV001POT_1.F_CV</t>
  </si>
  <si>
    <t>SRV002.M1000CV001VOLT.F_CV</t>
  </si>
  <si>
    <t>SRV002.M1000CV002ACT.F_CV</t>
  </si>
  <si>
    <t>SRV002.M1000CV002CURR_0.F_CV</t>
  </si>
  <si>
    <t>SRV002.M1000CV002CURR_1.F_CV</t>
  </si>
  <si>
    <t>SRV002.M1000CV002CURR_2.F_CV</t>
  </si>
  <si>
    <t>SRV002.M1000CV002CURR_3.F_CV</t>
  </si>
  <si>
    <t>SRV002.M1000CV002CURR_4.F_CV</t>
  </si>
  <si>
    <t>SRV002.M1000CV002HRS.F_CV</t>
  </si>
  <si>
    <t>SRV002.M1000CV002PAR_0.F_CV</t>
  </si>
  <si>
    <t>SRV002.M1000CV002PAR_2.F_CV</t>
  </si>
  <si>
    <t>SRV002.M1000CV002PAR_3.F_CV</t>
  </si>
  <si>
    <t>SRV002.M1000CV002PAR_4.F_CV</t>
  </si>
  <si>
    <t>SRV002.M1000CV002REF.F_CV</t>
  </si>
  <si>
    <t>SRV002.M1000EL001HRS.F_CV</t>
  </si>
  <si>
    <t>SRV002.M1000VE001CURR_0.F_CV</t>
  </si>
  <si>
    <t>SRV002.M1000VE001CURR_1.F_CV</t>
  </si>
  <si>
    <t>SRV002.M1000VE001CURR_2.F_CV</t>
  </si>
  <si>
    <t>SRV002.M1000VE001CURR_3.F_CV</t>
  </si>
  <si>
    <t>SRV002.M1000VE001CURR_4.F_CV</t>
  </si>
  <si>
    <t>SRV002.M1000VE001HRS.F_CV</t>
  </si>
  <si>
    <t>SRV002.M1000VE002CURR_0.F_CV</t>
  </si>
  <si>
    <t>SRV002.M1000VE002CURR_1.F_CV</t>
  </si>
  <si>
    <t>SRV002.M1000VE002CURR_2.F_CV</t>
  </si>
  <si>
    <t>SRV002.M1000VE002CURR_3.F_CV</t>
  </si>
  <si>
    <t>SRV002.M1000VE002HRS.F_CV</t>
  </si>
  <si>
    <t>SRV002.M1000VE002POT_0.F_CV</t>
  </si>
  <si>
    <t>SRV002.M1000VE002POT_1.F_CV</t>
  </si>
  <si>
    <t>SRV002.M1000VE002VOLT.F_CV</t>
  </si>
  <si>
    <t>SRV002.M1000VR002CURR_0.F_CV</t>
  </si>
  <si>
    <t>SRV002.M1000VR002CURR_1.F_CV</t>
  </si>
  <si>
    <t>SRV002.M1000VR002CURR_2.F_CV</t>
  </si>
  <si>
    <t>SRV002.M1000VR002CURR_3.F_CV</t>
  </si>
  <si>
    <t>SRV002.M1000VR002CURR_4.F_CV</t>
  </si>
  <si>
    <t>SRV002.M1000VR002HRS.F_CV</t>
  </si>
  <si>
    <t>SRV002.M1100FE001CURR_0.F_CV</t>
  </si>
  <si>
    <t>SRV002.M1100FE001CURR_1.F_CV</t>
  </si>
  <si>
    <t>SRV002.M1100FE001CURR_2.F_CV</t>
  </si>
  <si>
    <t>SRV002.M1100FE001CURR_3.F_CV</t>
  </si>
  <si>
    <t>SRV002.M1100FE001CURR_4.F_CV</t>
  </si>
  <si>
    <t>SRV002.M1100FE001HRS.F_CV</t>
  </si>
  <si>
    <t>SRV002.M1100FE001PAR_0.F_CV</t>
  </si>
  <si>
    <t>SRV002.M1100FE001PAR_2.F_CV</t>
  </si>
  <si>
    <t>SRV002.M1100FE001PAR_3.F_CV</t>
  </si>
  <si>
    <t>SRV002.M1100FE001PAR_4.F_CV</t>
  </si>
  <si>
    <t>SRV002.M1100FE001REF.F_CV</t>
  </si>
  <si>
    <t>SRV002.M1200BA001CURR_0.F_CV</t>
  </si>
  <si>
    <t>SRV002.M1200BA001CURR_1.F_CV</t>
  </si>
  <si>
    <t>SRV002.M1200BA001CURR_2.F_CV</t>
  </si>
  <si>
    <t>SRV002.M1200BA001CURR_3.F_CV</t>
  </si>
  <si>
    <t>SRV002.M1200BA001HRS.F_CV</t>
  </si>
  <si>
    <t>SRV002.M1200BA002CURR_0.F_CV</t>
  </si>
  <si>
    <t>SRV002.M1200BA002CURR_1.F_CV</t>
  </si>
  <si>
    <t>SRV002.M1200BA002CURR_2.F_CV</t>
  </si>
  <si>
    <t>SRV002.M1200BA002CURR_3.F_CV</t>
  </si>
  <si>
    <t>SRV002.M1200BA002HRS.F_CV</t>
  </si>
  <si>
    <t>SRV002.M1200BA003CURR_0.F_CV</t>
  </si>
  <si>
    <t>SRV002.M1200BA003CURR_1.F_CV</t>
  </si>
  <si>
    <t>SRV002.M1200BA003CURR_2.F_CV</t>
  </si>
  <si>
    <t>SRV002.M1200BA003CURR_3.F_CV</t>
  </si>
  <si>
    <t>SRV002.M1200BA003HRS.F_CV</t>
  </si>
  <si>
    <t>SRV002.M1200BA004CURR_0.F_CV</t>
  </si>
  <si>
    <t>SRV002.M1200BA004CURR_1.F_CV</t>
  </si>
  <si>
    <t>SRV002.M1200BA004CURR_2.F_CV</t>
  </si>
  <si>
    <t>SRV002.M1200BA004CURR_3.F_CV</t>
  </si>
  <si>
    <t>SRV002.M1200BA004HRS.F_CV</t>
  </si>
  <si>
    <t>SRV002.M1200BA005CURR_0.F_CV</t>
  </si>
  <si>
    <t>SRV002.M1200BA005CURR_1.F_CV</t>
  </si>
  <si>
    <t>SRV002.M1200BA005CURR_2.F_CV</t>
  </si>
  <si>
    <t>SRV002.M1200BA005CURR_3.F_CV</t>
  </si>
  <si>
    <t>SRV002.M1200BA005HRS.F_CV</t>
  </si>
  <si>
    <t>SRV002.M1200BS001CURR_0.F_CV</t>
  </si>
  <si>
    <t>SRV002.M1200BS001CURR_1.F_CV</t>
  </si>
  <si>
    <t>SRV002.M1200BS001CURR_2.F_CV</t>
  </si>
  <si>
    <t>SRV002.M1200BS001CURR_3.F_CV</t>
  </si>
  <si>
    <t>SRV002.M1200BS001HRS.F_CV</t>
  </si>
  <si>
    <t>SRV002.M1200BS002CURR_0.F_CV</t>
  </si>
  <si>
    <t>SRV002.M1200BS002CURR_1.F_CV</t>
  </si>
  <si>
    <t>SRV002.M1200BS002CURR_2.F_CV</t>
  </si>
  <si>
    <t>SRV002.M1200BS002CURR_3.F_CV</t>
  </si>
  <si>
    <t>SRV002.M1200BS002HRS.F_CV</t>
  </si>
  <si>
    <t>SRV002.M1200ES001CURR_0.F_CV</t>
  </si>
  <si>
    <t>SRV002.M1200ES001CURR_1.F_CV</t>
  </si>
  <si>
    <t>SRV002.M1200ES001CURR_2.F_CV</t>
  </si>
  <si>
    <t>SRV002.M1200ES001CURR_3.F_CV</t>
  </si>
  <si>
    <t>SRV002.M1200ES001HRS.F_CV</t>
  </si>
  <si>
    <t>SRV002.M1200FE001ACT.F_CV</t>
  </si>
  <si>
    <t>SRV002.M1200FE001CURR_0.F_CV</t>
  </si>
  <si>
    <t>SRV002.M1200FE001CURR_1.F_CV</t>
  </si>
  <si>
    <t>SRV002.M1200FE001CURR_2.F_CV</t>
  </si>
  <si>
    <t>SRV002.M1200FE001CURR_3.F_CV</t>
  </si>
  <si>
    <t>SRV002.M1200FE001CURR_4.F_CV</t>
  </si>
  <si>
    <t>SRV002.M1200FE001HRS.F_CV</t>
  </si>
  <si>
    <t>SRV002.M1200FE001PAR_0.F_CV</t>
  </si>
  <si>
    <t>SRV002.M1200FE001PAR_1.F_CV</t>
  </si>
  <si>
    <t>SRV002.M1200FE001PAR_2.F_CV</t>
  </si>
  <si>
    <t>SRV002.M1200FE001PAR_3.F_CV</t>
  </si>
  <si>
    <t>SRV002.M1200FE001PAR_4.F_CV</t>
  </si>
  <si>
    <t>SRV002.M1200FE001REF.F_CV</t>
  </si>
  <si>
    <t>SRV002.M1200UM010CURR_0.F_CV</t>
  </si>
  <si>
    <t>SRV002.M1200UM010CURR_1.F_CV</t>
  </si>
  <si>
    <t>SRV002.M1200UM010CURR_2.F_CV</t>
  </si>
  <si>
    <t>SRV002.M1200UM010CURR_3.F_CV</t>
  </si>
  <si>
    <t>SRV002.M1200UM010HRS.F_CV</t>
  </si>
  <si>
    <t>SRV002.M1200UM020CURR_0.F_CV</t>
  </si>
  <si>
    <t>SRV002.M1200UM020CURR_1.F_CV</t>
  </si>
  <si>
    <t>SRV002.M1200UM020CURR_2.F_CV</t>
  </si>
  <si>
    <t>SRV002.M1200UM020CURR_3.F_CV</t>
  </si>
  <si>
    <t>SRV002.M1200UM020HRS.F_CV</t>
  </si>
  <si>
    <t>SRV002.M1200UM021CURR_0.F_CV</t>
  </si>
  <si>
    <t>SRV002.M1200UM021CURR_1.F_CV</t>
  </si>
  <si>
    <t>SRV002.M1200UM021CURR_2.F_CV</t>
  </si>
  <si>
    <t>SRV002.M1200UM021CURR_3.F_CV</t>
  </si>
  <si>
    <t>SRV002.M1200UM021HRS.F_CV</t>
  </si>
  <si>
    <t>SRV002.M1300FE001ACT.F_CV</t>
  </si>
  <si>
    <t>SRV002.M1300FE001CURR_0.F_CV</t>
  </si>
  <si>
    <t>SRV002.M1300FE001CURR_1.F_CV</t>
  </si>
  <si>
    <t>SRV002.M1300FE001CURR_2.F_CV</t>
  </si>
  <si>
    <t>SRV002.M1300FE001CURR_3.F_CV</t>
  </si>
  <si>
    <t>SRV002.M1300FE001CURR_4.F_CV</t>
  </si>
  <si>
    <t>SRV002.M1300FE001HRS.F_CV</t>
  </si>
  <si>
    <t>SRV002.M1300FE001PAR_0.F_CV</t>
  </si>
  <si>
    <t>SRV002.M1300FE001PAR_1.F_CV</t>
  </si>
  <si>
    <t>SRV002.M1300FE001PAR_2.F_CV</t>
  </si>
  <si>
    <t>SRV002.M1300FE001PAR_3.F_CV</t>
  </si>
  <si>
    <t>SRV002.M1300FE001PAR_4.F_CV</t>
  </si>
  <si>
    <t>SRV002.M1300FE001REF.F_CV</t>
  </si>
  <si>
    <t>SRV002.M1300PC001CURR_0.F_CV</t>
  </si>
  <si>
    <t>SRV002.M1300PC001CURR_1.F_CV</t>
  </si>
  <si>
    <t>SRV002.M1300PC001CURR_2.F_CV</t>
  </si>
  <si>
    <t>SRV002.M1300PC001CURR_3.F_CV</t>
  </si>
  <si>
    <t>SRV002.M1300PC001HRS.F_CV</t>
  </si>
  <si>
    <t>SRV002.M1300PC001POT_0.F_CV</t>
  </si>
  <si>
    <t>SRV002.M1300PC001POT_1.F_CV</t>
  </si>
  <si>
    <t>SRV002.M2000CV001CURR_1.F_CV</t>
  </si>
  <si>
    <t>SRV002.M2000CV001CURR_2.F_CV</t>
  </si>
  <si>
    <t>SRV002.M2000CV001CURR_3.F_CV</t>
  </si>
  <si>
    <t>SRV002.M2000CV001HRS.F_CV</t>
  </si>
  <si>
    <t>SRV002.M2000CV001POT_0.F_CV</t>
  </si>
  <si>
    <t>SRV002.M2000CV001POT_1.F_CV</t>
  </si>
  <si>
    <t>SRV002.M2000PC001CURR_1.F_CV</t>
  </si>
  <si>
    <t>SRV002.M2000PC001CURR_2.F_CV</t>
  </si>
  <si>
    <t>SRV002.M2000PC001CURR_3.F_CV</t>
  </si>
  <si>
    <t>SRV002.M2000PC001HRS.F_CV</t>
  </si>
  <si>
    <t>SRV002.M2000PC001POT_0.F_CV</t>
  </si>
  <si>
    <t>SRV002.M2000PC001POT_1.F_CV</t>
  </si>
  <si>
    <t>SRV002.M2000VE001CURR_0.F_CV</t>
  </si>
  <si>
    <t>SRV002.M2000VE001CURR_1.F_CV</t>
  </si>
  <si>
    <t>SRV002.M2000VE001CURR_2.F_CV</t>
  </si>
  <si>
    <t>SRV002.M2000VE001CURR_3.F_CV</t>
  </si>
  <si>
    <t>SRV002.M2000VE001HRS.F_CV</t>
  </si>
  <si>
    <t>SRV002.M2000VE001POT_0.F_CV</t>
  </si>
  <si>
    <t>SRV002.M2000VE001POT_1.F_CV</t>
  </si>
  <si>
    <t>SRV002.M2000VR001CURR_0.F_CV</t>
  </si>
  <si>
    <t>SRV002.M2000VR001CURR_1.F_CV</t>
  </si>
  <si>
    <t>SRV002.M2000VR001CURR_2.F_CV</t>
  </si>
  <si>
    <t>SRV002.M2000VR001CURR_3.F_CV</t>
  </si>
  <si>
    <t>SRV002.M2000VR001CURR_4.F_CV</t>
  </si>
  <si>
    <t>SRV002.M2000VR001HRS.F_CV</t>
  </si>
  <si>
    <t>SRV002.M3000CV001ACT.F_CV</t>
  </si>
  <si>
    <t>SRV002.M3000CV001CURR_0.F_CV</t>
  </si>
  <si>
    <t>SRV002.M3000CV001CURR_1.F_CV</t>
  </si>
  <si>
    <t>SRV002.M3000CV001CURR_2.F_CV</t>
  </si>
  <si>
    <t>SRV002.M3000CV001CURR_3.F_CV</t>
  </si>
  <si>
    <t>SRV002.M3000CV001CURR_4.F_CV</t>
  </si>
  <si>
    <t>SRV002.M3000CV001HRS.F_CV</t>
  </si>
  <si>
    <t>SRV002.M3000CV001PAR_0.F_CV</t>
  </si>
  <si>
    <t>SRV002.M3000CV001PAR_1.F_CV</t>
  </si>
  <si>
    <t>SRV002.M3000CV001PAR_2.F_CV</t>
  </si>
  <si>
    <t>SRV002.M3000CV001PAR_3.F_CV</t>
  </si>
  <si>
    <t>SRV002.M3000CV001PAR_4.F_CV</t>
  </si>
  <si>
    <t>SRV002.M3000CV001REF.F_CV</t>
  </si>
  <si>
    <t>SRV002.M3000CV002CURR_0.F_CV</t>
  </si>
  <si>
    <t>SRV002.M3000CV002CURR_1.F_CV</t>
  </si>
  <si>
    <t>SRV002.M3000CV002CURR_2.F_CV</t>
  </si>
  <si>
    <t>SRV002.M3000CV002CURR_3.F_CV</t>
  </si>
  <si>
    <t>SRV002.M3000CV002HRS.F_CV</t>
  </si>
  <si>
    <t>SRV002.M3000CV002POT_0.F_CV</t>
  </si>
  <si>
    <t>SRV002.M3000CV002POT_1.F_CV</t>
  </si>
  <si>
    <t>SRV002.M3000CV003CURR_0.F_CV</t>
  </si>
  <si>
    <t>SRV002.M3000CV003CURR_1.F_CV</t>
  </si>
  <si>
    <t>SRV002.M3000CV003CURR_2.F_CV</t>
  </si>
  <si>
    <t>SRV002.M3000CV003CURR_3.F_CV</t>
  </si>
  <si>
    <t>SRV002.M3000CV003HRS.F_CV</t>
  </si>
  <si>
    <t>SRV002.M3000CV003POT_0.F_CV</t>
  </si>
  <si>
    <t>SRV002.M3000CV003POT_1.F_CV</t>
  </si>
  <si>
    <t>SRV002.M3000CV004ACT.F_CV</t>
  </si>
  <si>
    <t>SRV002.M3000CV004CURR_0.F_CV</t>
  </si>
  <si>
    <t>SRV002.M3000CV004CURR_1.F_CV</t>
  </si>
  <si>
    <t>SRV002.M3000CV004CURR_2.F_CV</t>
  </si>
  <si>
    <t>SRV002.M3000CV004CURR_3.F_CV</t>
  </si>
  <si>
    <t>SRV002.M3000CV004CURR_4.F_CV</t>
  </si>
  <si>
    <t>SRV002.M3000CV004HRS.F_CV</t>
  </si>
  <si>
    <t>SRV002.M3000CV004PAR_0.F_CV</t>
  </si>
  <si>
    <t>SRV002.M3000CV004PAR_1.F_CV</t>
  </si>
  <si>
    <t>SRV002.M3000CV004PAR_2.F_CV</t>
  </si>
  <si>
    <t>SRV002.M3000CV004PAR_3.F_CV</t>
  </si>
  <si>
    <t>SRV002.M3000CV004PAR_4.F_CV</t>
  </si>
  <si>
    <t>SRV002.M3000CV004REF.F_CV</t>
  </si>
  <si>
    <t>SRV002.M3000CV005CURR_0.F_CV</t>
  </si>
  <si>
    <t>SRV002.M3000CV005CURR_1.F_CV</t>
  </si>
  <si>
    <t>SRV002.M3000CV005CURR_2.F_CV</t>
  </si>
  <si>
    <t>SRV002.M3000CV005CURR_3.F_CV</t>
  </si>
  <si>
    <t>SRV002.M3000CV005HRS.F_CV</t>
  </si>
  <si>
    <t>SRV002.M3000CV005POT_0.F_CV</t>
  </si>
  <si>
    <t>SRV002.M3000CV005POT_1.F_CV</t>
  </si>
  <si>
    <t>SRV002.M3000CV006ACT.F_CV</t>
  </si>
  <si>
    <t>SRV002.M3000CV006CURR_0.F_CV</t>
  </si>
  <si>
    <t>SRV002.M3000CV006CURR_1.F_CV</t>
  </si>
  <si>
    <t>SRV002.M3000CV006CURR_2.F_CV</t>
  </si>
  <si>
    <t>SRV002.M3000CV006CURR_3.F_CV</t>
  </si>
  <si>
    <t>SRV002.M3000CV006CURR_4.F_CV</t>
  </si>
  <si>
    <t>SRV002.M3000CV006HRS.F_CV</t>
  </si>
  <si>
    <t>SRV002.M3000CV006PAR_0.F_CV</t>
  </si>
  <si>
    <t>SRV002.M3000CV006PAR_1.F_CV</t>
  </si>
  <si>
    <t>SRV002.M3000CV006PAR_2.F_CV</t>
  </si>
  <si>
    <t>SRV002.M3000CV006PAR_3.F_CV</t>
  </si>
  <si>
    <t>SRV002.M3000CV006PAR_4.F_CV</t>
  </si>
  <si>
    <t>SRV002.M3000CV006REF.F_CV</t>
  </si>
  <si>
    <t>SRV002.M3000EL001HRS.F_CV</t>
  </si>
  <si>
    <t>SRV002.M3000EL002HRS.F_CV</t>
  </si>
  <si>
    <t>SRV002.M3000FE001ACT.F_CV</t>
  </si>
  <si>
    <t>SRV002.M3000FE001CURR_0.F_CV</t>
  </si>
  <si>
    <t>SRV002.M3000FE001CURR_1.F_CV</t>
  </si>
  <si>
    <t>SRV002.M3000FE001CURR_2.F_CV</t>
  </si>
  <si>
    <t>SRV002.M3000FE001CURR_3.F_CV</t>
  </si>
  <si>
    <t>SRV002.M3000FE001CURR_4.F_CV</t>
  </si>
  <si>
    <t>SRV002.M3000FE001HRS.F_CV</t>
  </si>
  <si>
    <t>SRV002.M3000FE001PAR_0.F_CV</t>
  </si>
  <si>
    <t>SRV002.M3000FE001PAR_1.F_CV</t>
  </si>
  <si>
    <t>SRV002.M3000FE001PAR_2.F_CV</t>
  </si>
  <si>
    <t>SRV002.M3000FE001PAR_3.F_CV</t>
  </si>
  <si>
    <t>SRV002.M3000FE001PAR_4.F_CV</t>
  </si>
  <si>
    <t>SRV002.M3000FE001REF.F_CV</t>
  </si>
  <si>
    <t>SRV002.M3000VE001CURR_0.F_CV</t>
  </si>
  <si>
    <t>SRV002.M3000VE001CURR_1.F_CV</t>
  </si>
  <si>
    <t>SRV002.M3000VE001CURR_2.F_CV</t>
  </si>
  <si>
    <t>SRV002.M3000VE001CURR_3.F_CV</t>
  </si>
  <si>
    <t>SRV002.M3000VE001CURR_4.F_CV</t>
  </si>
  <si>
    <t>SRV002.M3000VE001HRS.F_CV</t>
  </si>
  <si>
    <t>SRV002.M3000VE002CURR_0.F_CV</t>
  </si>
  <si>
    <t>SRV002.M3000VE002CURR_1.F_CV</t>
  </si>
  <si>
    <t>SRV002.M3000VE002CURR_2.F_CV</t>
  </si>
  <si>
    <t>SRV002.M3000VE002CURR_3.F_CV</t>
  </si>
  <si>
    <t>SRV002.M3000VE002HRS.F_CV</t>
  </si>
  <si>
    <t>SRV002.M3000VE002POT_0.F_CV</t>
  </si>
  <si>
    <t>SRV002.M3000VE002POT_1.F_CV</t>
  </si>
  <si>
    <t>SRV002.M3000VE003CURR_0.F_CV</t>
  </si>
  <si>
    <t>SRV002.M3000VE003CURR_1.F_CV</t>
  </si>
  <si>
    <t>SRV002.M3000VE003CURR_2.F_CV</t>
  </si>
  <si>
    <t>SRV002.M3000VE003CURR_3.F_CV</t>
  </si>
  <si>
    <t>SRV002.M3000VE003HRS.F_CV</t>
  </si>
  <si>
    <t>SRV002.M3000VE003POT_0.F_CV</t>
  </si>
  <si>
    <t>SRV002.M3000VE003POT_1.F_CV</t>
  </si>
  <si>
    <t>SRV002.M3000VR002CURR_0.F_CV</t>
  </si>
  <si>
    <t>SRV002.M3000VR002CURR_1.F_CV</t>
  </si>
  <si>
    <t>SRV002.M3000VR002CURR_2.F_CV</t>
  </si>
  <si>
    <t>SRV002.M3000VR002CURR_3.F_CV</t>
  </si>
  <si>
    <t>SRV002.M3000VR002CURR_4.F_CV</t>
  </si>
  <si>
    <t>SRV002.M3000VR002HRS.F_CV</t>
  </si>
  <si>
    <t>SRV002.M3000VR003CURR_0.F_CV</t>
  </si>
  <si>
    <t>SRV002.M3000VR003CURR_1.F_CV</t>
  </si>
  <si>
    <t>SRV002.M3000VR003CURR_2.F_CV</t>
  </si>
  <si>
    <t>SRV002.M3000VR003CURR_3.F_CV</t>
  </si>
  <si>
    <t>SRV002.M3000VR003CURR_4.F_CV</t>
  </si>
  <si>
    <t>SRV002.M3000VR003HRS.F_CV</t>
  </si>
  <si>
    <t>SRV002.M4200BA001CURR_0.F_CV</t>
  </si>
  <si>
    <t>SRV002.M4200BA001CURR_1.F_CV</t>
  </si>
  <si>
    <t>SRV002.M4200BA001CURR_2.F_CV</t>
  </si>
  <si>
    <t>SRV002.M4200BA001CURR_3.F_CV</t>
  </si>
  <si>
    <t>SRV002.M4200BA001HRS.F_CV</t>
  </si>
  <si>
    <t>SRV002.M4200BA001POT_0.F_CV</t>
  </si>
  <si>
    <t>SRV002.M4200BA001POT_1.F_CV</t>
  </si>
  <si>
    <t>SRV002.M4200BA002CURR_0.F_CV</t>
  </si>
  <si>
    <t>SRV002.M4200BA002CURR_1.F_CV</t>
  </si>
  <si>
    <t>SRV002.M4200BA002CURR_2.F_CV</t>
  </si>
  <si>
    <t>SRV002.M4200BA002CURR_3.F_CV</t>
  </si>
  <si>
    <t>SRV002.M4200BA002HRS.F_CV</t>
  </si>
  <si>
    <t>SRV002.M4200BA002POT_0.F_CV</t>
  </si>
  <si>
    <t>SRV002.M4200BA002POT_1.F_CV</t>
  </si>
  <si>
    <t>SRV002.M4200BA003CURR_0.F_CV</t>
  </si>
  <si>
    <t>SRV002.M4200BA003CURR_1.F_CV</t>
  </si>
  <si>
    <t>SRV002.M4200BA003CURR_2.F_CV</t>
  </si>
  <si>
    <t>SRV002.M4200BA003CURR_3.F_CV</t>
  </si>
  <si>
    <t>SRV002.M4200BA003HRS.F_CV</t>
  </si>
  <si>
    <t>SRV002.M4200BA004CURR_0.F_CV</t>
  </si>
  <si>
    <t>SRV002.M4200BA004CURR_1.F_CV</t>
  </si>
  <si>
    <t>SRV002.M4200BA004CURR_2.F_CV</t>
  </si>
  <si>
    <t>SRV002.M4200BA004CURR_3.F_CV</t>
  </si>
  <si>
    <t>SRV002.M4200BA004HRS.F_CV</t>
  </si>
  <si>
    <t>SRV002.M4200BS001CURR_0.F_CV</t>
  </si>
  <si>
    <t>SRV002.M4200BS001CURR_1.F_CV</t>
  </si>
  <si>
    <t>SRV002.M4200BS001CURR_2.F_CV</t>
  </si>
  <si>
    <t>SRV002.M4200BS001CURR_3.F_CV</t>
  </si>
  <si>
    <t>SRV002.M4200BS001HRS.F_CV</t>
  </si>
  <si>
    <t>SRV002.M4200BS001POT_0.F_CV</t>
  </si>
  <si>
    <t>SRV002.M4200BS001POT_1.F_CV</t>
  </si>
  <si>
    <t>SRV002.M4200BS002CURR_0.F_CV</t>
  </si>
  <si>
    <t>SRV002.M4200BS002CURR_1.F_CV</t>
  </si>
  <si>
    <t>SRV002.M4200BS002CURR_2.F_CV</t>
  </si>
  <si>
    <t>SRV002.M4200BS002CURR_3.F_CV</t>
  </si>
  <si>
    <t>SRV002.M4200BS002HRS.F_CV</t>
  </si>
  <si>
    <t>SRV002.M4200BS002POT_0.F_CV</t>
  </si>
  <si>
    <t>SRV002.M4200BS002POT_1.F_CV</t>
  </si>
  <si>
    <t>SRV002.M4400BA001CURR_0.F_CV</t>
  </si>
  <si>
    <t>SRV002.M4400BA001CURR_1.F_CV</t>
  </si>
  <si>
    <t>SRV002.M4400BA001CURR_2.F_CV</t>
  </si>
  <si>
    <t>SRV002.M4400BA001CURR_3.F_CV</t>
  </si>
  <si>
    <t>SRV002.M4400BA001CURR_4.F_CV</t>
  </si>
  <si>
    <t>SRV002.M4400BA001HRS.F_CV</t>
  </si>
  <si>
    <t>SRV002.M4400BA002CURR_0.F_CV</t>
  </si>
  <si>
    <t>SRV002.M4400BA002CURR_1.F_CV</t>
  </si>
  <si>
    <t>SRV002.M4400BA002CURR_2.F_CV</t>
  </si>
  <si>
    <t>SRV002.M4400BA002CURR_3.F_CV</t>
  </si>
  <si>
    <t>SRV002.M4400BA002CURR_4.F_CV</t>
  </si>
  <si>
    <t>SRV002.M4400BA002HRS.F_CV</t>
  </si>
  <si>
    <t>SRV002.M4400BS001CURR_0.F_CV</t>
  </si>
  <si>
    <t>SRV002.M4400BS001CURR_1.F_CV</t>
  </si>
  <si>
    <t>SRV002.M4400BS001CURR_2.F_CV</t>
  </si>
  <si>
    <t>SRV002.M4400BS001CURR_3.F_CV</t>
  </si>
  <si>
    <t>SRV002.M4400BS001CURR_4.F_CV</t>
  </si>
  <si>
    <t>SRV002.M4400BS001HRS.F_CV</t>
  </si>
  <si>
    <t>SRV002.M4400BS002CURR_0.F_CV</t>
  </si>
  <si>
    <t>SRV002.M4400BS002CURR_1.F_CV</t>
  </si>
  <si>
    <t>SRV002.M4400BS002CURR_2.F_CV</t>
  </si>
  <si>
    <t>SRV002.M4400BS002CURR_3.F_CV</t>
  </si>
  <si>
    <t>SRV002.M4400BS002HRS.F_CV</t>
  </si>
  <si>
    <t>SRV002.M4400ES001CURR_0.F_CV</t>
  </si>
  <si>
    <t>SRV002.M4400ES001CURR_1.F_CV</t>
  </si>
  <si>
    <t>SRV002.M4400ES001CURR_2.F_CV</t>
  </si>
  <si>
    <t>SRV002.M4400ES001CURR_3.F_CV</t>
  </si>
  <si>
    <t>SRV002.M4400ES001CURR_4.F_CV</t>
  </si>
  <si>
    <t>SRV002.M4400ES001HRS.F_CV</t>
  </si>
  <si>
    <t>SRV002.M4400ES002CURR_0.F_CV</t>
  </si>
  <si>
    <t>SRV002.M4400ES002CURR_1.F_CV</t>
  </si>
  <si>
    <t>SRV002.M4400ES002CURR_2.F_CV</t>
  </si>
  <si>
    <t>SRV002.M4400ES002CURR_3.F_CV</t>
  </si>
  <si>
    <t>SRV002.M4400ES002CURR_4.F_CV</t>
  </si>
  <si>
    <t>SRV002.M4400ES002HRS.F_CV</t>
  </si>
  <si>
    <t>SRV002.PH_PW_76.F_CV</t>
  </si>
  <si>
    <t>SRV002.PH_PW_77.F_CV</t>
  </si>
  <si>
    <t>SRV002.PH_PW_78.F_CV</t>
  </si>
  <si>
    <t>SRV002.PH_PW_79.F_CV</t>
  </si>
  <si>
    <t>SRV002.PH_PW_80.F_CV</t>
  </si>
  <si>
    <t>SRV002.PHACU_76.F_CV</t>
  </si>
  <si>
    <t>SRV002.PHACU_77.F_CV</t>
  </si>
  <si>
    <t>SRV002.PHACU_78.F_CV</t>
  </si>
  <si>
    <t>SRV002.PHACU_79.F_CV</t>
  </si>
  <si>
    <t>SRV002.PHACU_80.F_CV</t>
  </si>
  <si>
    <t>SRV002.PHBCU_76.F_CV</t>
  </si>
  <si>
    <t>SRV002.PHBCU_77.F_CV</t>
  </si>
  <si>
    <t>SRV002.PHBCU_78.F_CV</t>
  </si>
  <si>
    <t>SRV002.PHBCU_79.F_CV</t>
  </si>
  <si>
    <t>SRV002.PHBCU_80.F_CV</t>
  </si>
  <si>
    <t>SRV002.PHCCU_76.F_CV</t>
  </si>
  <si>
    <t>SRV002.PHCCU_77.F_CV</t>
  </si>
  <si>
    <t>SRV002.PHCCU_78.F_CV</t>
  </si>
  <si>
    <t>SRV002.PHCCU_79.F_CV</t>
  </si>
  <si>
    <t>SRV002.PHCCU_80.F_CV</t>
  </si>
  <si>
    <t>SRV002.REAC_PH_76.F_CV</t>
  </si>
  <si>
    <t>SRV002.REAC_PH_77.F_CV</t>
  </si>
  <si>
    <t>SRV002.REAC_PH_78.F_CV</t>
  </si>
  <si>
    <t>SRV002.REAC_PH_79.F_CV</t>
  </si>
  <si>
    <t>SRV002.REAC_PH_80.F_CV</t>
  </si>
  <si>
    <t>SRV002.REAL_NEG_76.F_CV</t>
  </si>
  <si>
    <t>SRV002.REAL_NEG_77.F_CV</t>
  </si>
  <si>
    <t>SRV002.REAL_NEG_78.F_CV</t>
  </si>
  <si>
    <t>SRV002.REAL_NEG_79.F_CV</t>
  </si>
  <si>
    <t>SRV002.REAL_NEG_80.F_CV</t>
  </si>
  <si>
    <t>SRV002.REAL_POS_76.F_CV</t>
  </si>
  <si>
    <t>SRV002.REAL_POS_77.F_CV</t>
  </si>
  <si>
    <t>SRV002.REAL_POS_78.F_CV</t>
  </si>
  <si>
    <t>SRV002.REAL_POS_79.F_CV</t>
  </si>
  <si>
    <t>SRV002.REAL_POS_80.F_CV</t>
  </si>
  <si>
    <t>SRV002.REL_PH_76.F_CV</t>
  </si>
  <si>
    <t>SRV002.REL_PH_77.F_CV</t>
  </si>
  <si>
    <t>SRV002.REL_PH_78.F_CV</t>
  </si>
  <si>
    <t>SRV002.REL_PH_79.F_CV</t>
  </si>
  <si>
    <t>SRV002.REL_PH_80.F_CV</t>
  </si>
  <si>
    <t>SRV002.V1000BF001LOAD.F_CV</t>
  </si>
  <si>
    <t>SRV002.V1000BF001OPER.F_CV</t>
  </si>
  <si>
    <t>SRV002.V1000BF001PAR.F_CV</t>
  </si>
  <si>
    <t>SRV002.V1000BF001SPD.F_CV</t>
  </si>
  <si>
    <t>SRV002.V1000BF001TOT.F_CV</t>
  </si>
  <si>
    <t>SRV002.V3000BF001LOAD.F_CV</t>
  </si>
  <si>
    <t>SRV002.V3000BF001OPER.F_CV</t>
  </si>
  <si>
    <t>SRV002.V3000BF001PAR.F_CV</t>
  </si>
  <si>
    <t>SRV002.V3000BF001RATE.F_CV</t>
  </si>
  <si>
    <t>SRV002.V3000BF001SPD.F_CV</t>
  </si>
  <si>
    <t>SRV002.V3000BF001TOT.F_CV</t>
  </si>
  <si>
    <t>SRV002.V3000VG001_CUR.F_CV</t>
  </si>
  <si>
    <t>SRV002.V3000VG001_GROSS.F_CV</t>
  </si>
  <si>
    <t>SRV002.V3000VG001_LVL_ENTRY.F_CV</t>
  </si>
  <si>
    <t>SRV002.V3000VG001_LVL_EXIT.F_CV</t>
  </si>
  <si>
    <t>SRV002.V3000VG001_NETT.F_CV</t>
  </si>
  <si>
    <t>SRV002.V3000VG001_TARE.F_CV</t>
  </si>
  <si>
    <t>SRV002.VOLT_AB_76.F_CV</t>
  </si>
  <si>
    <t>SRV002.VOLT_AB_77.F_CV</t>
  </si>
  <si>
    <t>SRV002.VOLT_AB_78.F_CV</t>
  </si>
  <si>
    <t>SRV002.VOLT_AB_79.F_CV</t>
  </si>
  <si>
    <t>SRV002.VOLT_AB_80.F_CV</t>
  </si>
  <si>
    <t>SRV002.VOLT_BC_76.F_CV</t>
  </si>
  <si>
    <t>SRV002.VOLT_BC_77.F_CV</t>
  </si>
  <si>
    <t>SRV002.VOLT_BC_78.F_CV</t>
  </si>
  <si>
    <t>SRV002.VOLT_BC_79.F_CV</t>
  </si>
  <si>
    <t>SRV002.VOLT_BC_80.F_CV</t>
  </si>
  <si>
    <t>SRV002.VOLT_CA_76.F_CV</t>
  </si>
  <si>
    <t>SRV002.VOLT_CA_77.F_CV</t>
  </si>
  <si>
    <t>SRV002.VOLT_CA_78.F_CV</t>
  </si>
  <si>
    <t>SRV002.VOLT_CA_79.F_CV</t>
  </si>
  <si>
    <t>SRV002.VOLT_CA_80.F_CV</t>
  </si>
  <si>
    <t>3000CP001   PRESION EN COLECTOR</t>
  </si>
  <si>
    <t>3000CP002   PRESION EN COLECTOR</t>
  </si>
  <si>
    <t>3000CV001   Temperatura de Faja</t>
  </si>
  <si>
    <t>3000FE001   Temperatura de Faja</t>
  </si>
  <si>
    <t>3000MC001   Corriente Promedio</t>
  </si>
  <si>
    <t>3000MC003   Corriente Promedio</t>
  </si>
  <si>
    <t>3000MC002   Corriente Promedio</t>
  </si>
  <si>
    <t>4200MC001   Corriente Promedio</t>
  </si>
  <si>
    <t>2000MC001   Corriente Promedio</t>
  </si>
  <si>
    <t>3000MC001   Voltaje Promedio</t>
  </si>
  <si>
    <t>3000MC003   Voltaje Promedio</t>
  </si>
  <si>
    <t>3000MC002   Voltaje Promedio</t>
  </si>
  <si>
    <t>4200MC001   Voltaje Promedio</t>
  </si>
  <si>
    <t>2000MC001   Voltaje Promedio</t>
  </si>
  <si>
    <t>3000MC001   Energía Reactiva Negativa</t>
  </si>
  <si>
    <t>3000MC003   Energía Reactiva Negativa</t>
  </si>
  <si>
    <t>3000MC002   Energía Reactiva Negativa</t>
  </si>
  <si>
    <t>4200MC001   Energía Reactiva Negativa</t>
  </si>
  <si>
    <t>2000MC001   Energía Reactiva Negativa</t>
  </si>
  <si>
    <t>3000MC001   Energía Reactiva Positiva</t>
  </si>
  <si>
    <t>3000MC003   Energía Reactiva Positiva</t>
  </si>
  <si>
    <t>3000MC002   Energía Reactiva Positiva</t>
  </si>
  <si>
    <t>4200MC001   Energía Reactiva Positiva</t>
  </si>
  <si>
    <t>2000MC001   Energía Reactiva Positiva</t>
  </si>
  <si>
    <t>F11   Status Abierto</t>
  </si>
  <si>
    <t>F11   Corriente Promedio</t>
  </si>
  <si>
    <t>F11   Voltaje A-B</t>
  </si>
  <si>
    <t>F11   Corriente Fase A</t>
  </si>
  <si>
    <t>F11   Corriente Fase B</t>
  </si>
  <si>
    <t>F11   Voltaje B-C</t>
  </si>
  <si>
    <t>F11   Voltaje C-A</t>
  </si>
  <si>
    <t>F11   Corriente Fase C</t>
  </si>
  <si>
    <t>F11   Potencia Aparente</t>
  </si>
  <si>
    <t>F11   Factor de Potencia</t>
  </si>
  <si>
    <t>F11   Potencia Reactiva</t>
  </si>
  <si>
    <t>F11   Potencia Activa</t>
  </si>
  <si>
    <t>F21   Status Abierto</t>
  </si>
  <si>
    <t>F21   Corriente Promedio</t>
  </si>
  <si>
    <t>F21   Voltaje A-B</t>
  </si>
  <si>
    <t>F21   Corriente Fase A</t>
  </si>
  <si>
    <t>F21   Corriente Fase B</t>
  </si>
  <si>
    <t>F21   Voltaje B-C</t>
  </si>
  <si>
    <t>F21   Voltaje C-A</t>
  </si>
  <si>
    <t>F21   Corriente Fase C</t>
  </si>
  <si>
    <t>F21   Potencia Aparente</t>
  </si>
  <si>
    <t>F21   Factor de Potencia</t>
  </si>
  <si>
    <t>F21   Potencia Reactiva</t>
  </si>
  <si>
    <t>F21   Potencia Activa</t>
  </si>
  <si>
    <t>F31   Status Abierto</t>
  </si>
  <si>
    <t>F31   Corriente Promedio</t>
  </si>
  <si>
    <t>F31   Voltaje A-B</t>
  </si>
  <si>
    <t>F31   Corriente Fase A</t>
  </si>
  <si>
    <t>F31   Corriente Fase B</t>
  </si>
  <si>
    <t>F31   Voltaje B-C</t>
  </si>
  <si>
    <t>F31   Voltaje C-A</t>
  </si>
  <si>
    <t>F31   Corriente Fase C</t>
  </si>
  <si>
    <t>F31   Potencia Aparente</t>
  </si>
  <si>
    <t>F31   Factor de Potencia</t>
  </si>
  <si>
    <t>F31   Potencia Reactiva</t>
  </si>
  <si>
    <t>F31   Potencia Activa</t>
  </si>
  <si>
    <t>F41   Status Abierto</t>
  </si>
  <si>
    <t>F41   Corriente Promedio</t>
  </si>
  <si>
    <t>F41   Voltaje A-B</t>
  </si>
  <si>
    <t>F41   Corriente Fase A</t>
  </si>
  <si>
    <t>F41   Corriente Fase B</t>
  </si>
  <si>
    <t>F41   Voltaje B-C</t>
  </si>
  <si>
    <t>F41   Voltaje C-A</t>
  </si>
  <si>
    <t>F41   Corriente Fase C</t>
  </si>
  <si>
    <t>F41   Potencia Aparente</t>
  </si>
  <si>
    <t>F41   Factor de Potencia</t>
  </si>
  <si>
    <t>F41   Potencia Reactiva</t>
  </si>
  <si>
    <t>F41   Potencia Activa</t>
  </si>
  <si>
    <t>FG1   Status Abierto</t>
  </si>
  <si>
    <t>FG1   Corriente Promedio</t>
  </si>
  <si>
    <t>FG1   Voltaje A-B</t>
  </si>
  <si>
    <t>FG1   Corriente Fase A</t>
  </si>
  <si>
    <t>FG1   Corriente Fase B</t>
  </si>
  <si>
    <t>FG1   Voltaje B-C</t>
  </si>
  <si>
    <t>FG1   Voltaje C-A</t>
  </si>
  <si>
    <t>FG1   Corriente Fase C</t>
  </si>
  <si>
    <t>FG1   Potencia Aparente</t>
  </si>
  <si>
    <t>FG1   Factor de Potencia</t>
  </si>
  <si>
    <t>FG1   Potencia Reactiva</t>
  </si>
  <si>
    <t>FG1   Potencia Activa</t>
  </si>
  <si>
    <t>3000MC001   Frecuencia</t>
  </si>
  <si>
    <t>3000MC003   Frecuencia</t>
  </si>
  <si>
    <t>3000MC002   Frecuencia</t>
  </si>
  <si>
    <t>4200MC001   Frecuencia</t>
  </si>
  <si>
    <t>2000MC001   Frecuencia</t>
  </si>
  <si>
    <t>1000CV001   Corriente Promedio</t>
  </si>
  <si>
    <t>1000CV001   Corriente Fase A</t>
  </si>
  <si>
    <t>1000CV001   Corriente Fase B</t>
  </si>
  <si>
    <t>1000CV001   Corriente Fase C</t>
  </si>
  <si>
    <t>1000CV001   Horometro</t>
  </si>
  <si>
    <t>1000CV001   Potencia Activa</t>
  </si>
  <si>
    <t>1000CV001   Potencia Reactiva</t>
  </si>
  <si>
    <t>1000CV001   Voltaje Promedio</t>
  </si>
  <si>
    <t>1000CV002   Referencia Actual</t>
  </si>
  <si>
    <t>1000CV002   Corriente Promedio AD</t>
  </si>
  <si>
    <t>1000CV002   Corriente Fase A AD</t>
  </si>
  <si>
    <t>1000CV002   Corriente Fase B AD</t>
  </si>
  <si>
    <t>1000CV002   Corriente Fase C AD</t>
  </si>
  <si>
    <t>1000CV002   Desbalance de Corriente AD</t>
  </si>
  <si>
    <t>1000CV002   Horometro</t>
  </si>
  <si>
    <t>1000CV002   Frecuencia del Motor</t>
  </si>
  <si>
    <t>1000CV002   Voltaje salida del Motor</t>
  </si>
  <si>
    <t>1000CV002   Voltaje Bus DC del Motor</t>
  </si>
  <si>
    <t>1000CV002   Referencia Local</t>
  </si>
  <si>
    <t>1000CV002   Referencia Remoto</t>
  </si>
  <si>
    <t>1000EL001   Horometro</t>
  </si>
  <si>
    <t>1000VE001   Corriente Promedio AD</t>
  </si>
  <si>
    <t>1000VE001   Corriente Fase A AD</t>
  </si>
  <si>
    <t>1000VE001   Corriente Fase B AD</t>
  </si>
  <si>
    <t>1000VE001   Corriente Fase C AD</t>
  </si>
  <si>
    <t>1000VE001   Desbalance de Corriente AD</t>
  </si>
  <si>
    <t>1000VE001   Horometro</t>
  </si>
  <si>
    <t>1000VE002   Corriente Promedio</t>
  </si>
  <si>
    <t>1000VE002   Corriente Fase A</t>
  </si>
  <si>
    <t>1000VE002   Corriente Fase B</t>
  </si>
  <si>
    <t>1000VE002   Corriente Fase C</t>
  </si>
  <si>
    <t>1000VE002   Horometro</t>
  </si>
  <si>
    <t>1000VE002   Potencia Activa</t>
  </si>
  <si>
    <t>1000VE002   Potencia Reactiva</t>
  </si>
  <si>
    <t>1000VE002   Voltaje Promedio</t>
  </si>
  <si>
    <t>1000VR002   Corriente Promedio AD</t>
  </si>
  <si>
    <t>1000VR002   Corriente Fase A AD</t>
  </si>
  <si>
    <t>1000VR002   Corriente Fase B AD</t>
  </si>
  <si>
    <t>1000VR002   Corriente Fase C AD</t>
  </si>
  <si>
    <t>1000VR002   Desbalance de Corriente AD</t>
  </si>
  <si>
    <t>1000VR002   Horometro</t>
  </si>
  <si>
    <t>1100FE001   Corriente Promedio AD</t>
  </si>
  <si>
    <t>1100FE001   Corriente Fase A AD</t>
  </si>
  <si>
    <t>1100FE001   Corriente Fase B AD</t>
  </si>
  <si>
    <t>1100FE001   Corriente Fase C AD</t>
  </si>
  <si>
    <t>1100FE001   Desbalance de Corriente AD</t>
  </si>
  <si>
    <t>1100FE001   Horometro</t>
  </si>
  <si>
    <t>1100FE001   Frecuencia del Motor</t>
  </si>
  <si>
    <t>1100FE001   Voltaje salida del Motor</t>
  </si>
  <si>
    <t>1100FE001   Voltaje Bus DC del Motor</t>
  </si>
  <si>
    <t>1100FE001   Referencia Local</t>
  </si>
  <si>
    <t>1100FE001   Referencia Remoto</t>
  </si>
  <si>
    <t>1200BA001   Corriente Promedio AD</t>
  </si>
  <si>
    <t>1200BA001   Corriente Fase A AD</t>
  </si>
  <si>
    <t>1200BA001   Corriente Fase B AD</t>
  </si>
  <si>
    <t>1200BA001   Corriente Fase C AD</t>
  </si>
  <si>
    <t>1200BA001   Horometro</t>
  </si>
  <si>
    <t>1200BA002   Corriente Promedio AD</t>
  </si>
  <si>
    <t>1200BA002   Corriente Fase A AD</t>
  </si>
  <si>
    <t>1200BA002   Corriente Fase B AD</t>
  </si>
  <si>
    <t>1200BA002   Corriente Fase C AD</t>
  </si>
  <si>
    <t>1200BA002   Horometro</t>
  </si>
  <si>
    <t>1200BA003   Corriente Promedio AD</t>
  </si>
  <si>
    <t>1200BA003   Corriente Fase A AD</t>
  </si>
  <si>
    <t>1200BA003   Corriente Fase B AD</t>
  </si>
  <si>
    <t>1200BA003   Corriente Fase C AD</t>
  </si>
  <si>
    <t>1200BA003   Horometro</t>
  </si>
  <si>
    <t>1200BA004   Corriente Promedio AD</t>
  </si>
  <si>
    <t>1200BA004   Corriente Fase A AD</t>
  </si>
  <si>
    <t>1200BA004   Corriente Fase B AD</t>
  </si>
  <si>
    <t>1200BA004   Corriente Fase C AD</t>
  </si>
  <si>
    <t>1200BA004   Horometro</t>
  </si>
  <si>
    <t>1200BA005   Corriente Promedio AD</t>
  </si>
  <si>
    <t>1200BA005   Corriente Fase A AD</t>
  </si>
  <si>
    <t>1200BA005   Corriente Fase B AD</t>
  </si>
  <si>
    <t>1200BA005   Corriente Fase C AD</t>
  </si>
  <si>
    <t>1200BA005   Horometro</t>
  </si>
  <si>
    <t>1200BS001   Corriente Promedio AD</t>
  </si>
  <si>
    <t>1200BS001   Corriente Fase A AD</t>
  </si>
  <si>
    <t>1200BS001   Corriente Fase B AD</t>
  </si>
  <si>
    <t>1200BS001   Corriente Fase C AD</t>
  </si>
  <si>
    <t>1200BS001   Horometro</t>
  </si>
  <si>
    <t>1200BS002   Corriente Promedio AD</t>
  </si>
  <si>
    <t>1200BS002   Corriente Fase A AD</t>
  </si>
  <si>
    <t>1200BS002   Corriente Fase B AD</t>
  </si>
  <si>
    <t>1200BS002   Corriente Fase C AD</t>
  </si>
  <si>
    <t>1200BS002   Horometro</t>
  </si>
  <si>
    <t>1200ES001   Corriente Promedio AD</t>
  </si>
  <si>
    <t>1200ES001   Corriente Fase A AD</t>
  </si>
  <si>
    <t>1200ES001   Corriente Fase B AD</t>
  </si>
  <si>
    <t>1200ES001   Corriente Fase C AD</t>
  </si>
  <si>
    <t>1200ES001   Horometro</t>
  </si>
  <si>
    <t>1200FE001   Referencia Actual</t>
  </si>
  <si>
    <t>1200FE001   Corriente Promedio AD</t>
  </si>
  <si>
    <t>1200FE001   Corriente Fase A AD</t>
  </si>
  <si>
    <t>1200FE001   Corriente Fase B AD</t>
  </si>
  <si>
    <t>1200FE001   Corriente Fase C AD</t>
  </si>
  <si>
    <t>1200FE001   Desbalance de Corriente AD</t>
  </si>
  <si>
    <t>1200FE001   Horometro</t>
  </si>
  <si>
    <t>1200FE001   Frecuencia del Motor</t>
  </si>
  <si>
    <t>1200FE001   Corriente salida del Motor</t>
  </si>
  <si>
    <t>1200FE001   Voltaje salida del Motor</t>
  </si>
  <si>
    <t>1200FE001   Voltaje Bus DC del Motor</t>
  </si>
  <si>
    <t>1200FE001   Referencia Local</t>
  </si>
  <si>
    <t>1200FE001   Referencia Remoto</t>
  </si>
  <si>
    <t>1200UM010   Corriente Promedio AD</t>
  </si>
  <si>
    <t>1200UM010   Corriente Fase A AD</t>
  </si>
  <si>
    <t>1200UM010   Corriente Fase B AD</t>
  </si>
  <si>
    <t>1200UM010   Corriente Fase C AD</t>
  </si>
  <si>
    <t>1200UM010   Horometro</t>
  </si>
  <si>
    <t>1200UM020   Corriente Promedio AD</t>
  </si>
  <si>
    <t>1200UM020   Corriente Fase A AD</t>
  </si>
  <si>
    <t>1200UM020   Corriente Fase B AD</t>
  </si>
  <si>
    <t>1200UM020   Corriente Fase C AD</t>
  </si>
  <si>
    <t>1200UM020   Horometro</t>
  </si>
  <si>
    <t>1200UM021   Corriente Promedio AD</t>
  </si>
  <si>
    <t>1200UM021   Corriente Fase A AD</t>
  </si>
  <si>
    <t>1200UM021   Corriente Fase B AD</t>
  </si>
  <si>
    <t>1200UM021   Corriente Fase C AD</t>
  </si>
  <si>
    <t>1200UM021   Horometro</t>
  </si>
  <si>
    <t>1300FE001   Referencia Actual</t>
  </si>
  <si>
    <t>1300FE001   Corriente Promedio AD</t>
  </si>
  <si>
    <t>1300FE001   Corriente Fase A AD</t>
  </si>
  <si>
    <t>1300FE001   Corriente Fase B AD</t>
  </si>
  <si>
    <t>1300FE001   Corriente Fase C AD</t>
  </si>
  <si>
    <t>1300FE001   Desbalance de Corriente AD</t>
  </si>
  <si>
    <t>1300FE001   Horometro</t>
  </si>
  <si>
    <t>1300FE001   Frecuencia del Motor</t>
  </si>
  <si>
    <t>1300FE001   Corriente salida del Motor</t>
  </si>
  <si>
    <t>1300FE001   Voltaje salida del Motor</t>
  </si>
  <si>
    <t>1300FE001   Voltaje Bus DC del Motor</t>
  </si>
  <si>
    <t>1300FE001   Referencia Local</t>
  </si>
  <si>
    <t>1300FE001   Referencia Remoto</t>
  </si>
  <si>
    <t>1300PC001   Corriente Promedio</t>
  </si>
  <si>
    <t>1300PC001   Corriente Fase A</t>
  </si>
  <si>
    <t>1300PC001   Corriente Fase B</t>
  </si>
  <si>
    <t>1300PC001   Corriente Fase C</t>
  </si>
  <si>
    <t>1300PC001   Horometro</t>
  </si>
  <si>
    <t>1300PC001   Potencia Activa</t>
  </si>
  <si>
    <t>1300PC001   Potencia Reactiva</t>
  </si>
  <si>
    <t>2000CV001   Corriente Fase A</t>
  </si>
  <si>
    <t>2000CV001   Corriente Fase B</t>
  </si>
  <si>
    <t>2000CV001   Corriente Fase C</t>
  </si>
  <si>
    <t>2000CV001   Horometro</t>
  </si>
  <si>
    <t>2000CV001   Potencia Activa</t>
  </si>
  <si>
    <t>2000CV001   Potencia Reactiva</t>
  </si>
  <si>
    <t>2000PC001   Corriente Fase A</t>
  </si>
  <si>
    <t>2000PC001   Corriente Fase B</t>
  </si>
  <si>
    <t>2000PC001   Corriente Fase C</t>
  </si>
  <si>
    <t>2000PC001   Horometro</t>
  </si>
  <si>
    <t>2000PC001   Potencia Activa</t>
  </si>
  <si>
    <t>2000PC001   Potencia Reactiva</t>
  </si>
  <si>
    <t>2000VE001   Corriente Promedio</t>
  </si>
  <si>
    <t>2000VE001   Corriente Fase A</t>
  </si>
  <si>
    <t>2000VE001   Corriente Fase B</t>
  </si>
  <si>
    <t>2000VE001   Corriente Fase C</t>
  </si>
  <si>
    <t>2000VE001   Horometro</t>
  </si>
  <si>
    <t>2000VE001   Potencia Activa</t>
  </si>
  <si>
    <t>2000VE001   Potencia Reactiva</t>
  </si>
  <si>
    <t>2000VR001   Corriente Promedio</t>
  </si>
  <si>
    <t>2000VR001   Corriente Fase A</t>
  </si>
  <si>
    <t>2000VR001   Corriente Fase B</t>
  </si>
  <si>
    <t>2000VR001   Corriente Fase C</t>
  </si>
  <si>
    <t>2000VR001   Desbalance de Corriente</t>
  </si>
  <si>
    <t>2000VR001   Horometro</t>
  </si>
  <si>
    <t>3000CV001   Referencia Actual</t>
  </si>
  <si>
    <t>3000CV001   Corriente Promedio AD</t>
  </si>
  <si>
    <t>3000CV001   Corriente Fase A AD</t>
  </si>
  <si>
    <t>3000CV001   Corriente Fase B AD</t>
  </si>
  <si>
    <t>3000CV001   Corriente Fase C AD</t>
  </si>
  <si>
    <t>3000CV001   Desbalance de Corriente AD</t>
  </si>
  <si>
    <t>3000CV001   Horometro</t>
  </si>
  <si>
    <t>3000CV001   Frecuencia del Motor</t>
  </si>
  <si>
    <t>3000CV001   Corriente salida del Motor</t>
  </si>
  <si>
    <t>3000CV001   Voltaje salida del Motor</t>
  </si>
  <si>
    <t>3000CV001   Voltaje Bus DC del Motor</t>
  </si>
  <si>
    <t>3000CV001   Referencia Local</t>
  </si>
  <si>
    <t>3000CV001   Referencia Remoto</t>
  </si>
  <si>
    <t>3000CV002   Corriente Promedio</t>
  </si>
  <si>
    <t>3000CV002   Corriente Fase A</t>
  </si>
  <si>
    <t>3000CV002   Corriente Fase B</t>
  </si>
  <si>
    <t>3000CV002   Corriente Fase C</t>
  </si>
  <si>
    <t>3000CV002   Horometro</t>
  </si>
  <si>
    <t>3000CV002   Potencia Activa</t>
  </si>
  <si>
    <t>3000CV002   Potencia Reactiva</t>
  </si>
  <si>
    <t>3000CV003   Corriente Promedio</t>
  </si>
  <si>
    <t>3000CV003   Corriente Fase A</t>
  </si>
  <si>
    <t>3000CV003   Corriente Fase B</t>
  </si>
  <si>
    <t>3000CV003   Corriente Fase C</t>
  </si>
  <si>
    <t>3000CV003   Horometro</t>
  </si>
  <si>
    <t>3000CV003   Potencia Activa</t>
  </si>
  <si>
    <t>3000CV003   Potencia Reactiva</t>
  </si>
  <si>
    <t>3000CV004   Referencia Actual</t>
  </si>
  <si>
    <t>3000CV004   Corriente Promedio AD</t>
  </si>
  <si>
    <t>3000CV004   Corriente Fase A AD</t>
  </si>
  <si>
    <t>3000CV004   Corriente Fase B AD</t>
  </si>
  <si>
    <t>3000CV004   Corriente Fase C AD</t>
  </si>
  <si>
    <t>3000CV004   Desbalance de Corriente AD</t>
  </si>
  <si>
    <t>3000CV004   Horometro</t>
  </si>
  <si>
    <t>3000CV004   Frecuencia del Motor</t>
  </si>
  <si>
    <t>3000CV004   Corriente salida del Motor</t>
  </si>
  <si>
    <t>3000CV004   Voltaje salida del Motor</t>
  </si>
  <si>
    <t>3000CV004   Voltaje Bus DC del Motor</t>
  </si>
  <si>
    <t>3000CV004   Referencia Local</t>
  </si>
  <si>
    <t>3000CV004   Referencia Remoto</t>
  </si>
  <si>
    <t>3000CV005   Corriente Promedio</t>
  </si>
  <si>
    <t>3000CV005   Corriente Fase A</t>
  </si>
  <si>
    <t>3000CV005   Corriente Fase B</t>
  </si>
  <si>
    <t>3000CV005   Corriente Fase C</t>
  </si>
  <si>
    <t>3000CV005   Horometro</t>
  </si>
  <si>
    <t>3000CV005   Potencia Activa</t>
  </si>
  <si>
    <t>3000CV005   Potencia Reactiva</t>
  </si>
  <si>
    <t>3000CV006   Referencia Actual</t>
  </si>
  <si>
    <t>3000CV006   Corriente Promedio AD</t>
  </si>
  <si>
    <t>3000CV006   Corriente Fase A AD</t>
  </si>
  <si>
    <t>3000CV006   Corriente Fase B AD</t>
  </si>
  <si>
    <t>3000CV006   Corriente Fase C AD</t>
  </si>
  <si>
    <t>3000CV006   Desbalance de Corriente AD</t>
  </si>
  <si>
    <t>3000CV006   Horometro</t>
  </si>
  <si>
    <t>3000CV006   Frecuencia del Motor</t>
  </si>
  <si>
    <t>3000CV006   Corriente salida del Motor</t>
  </si>
  <si>
    <t>3000CV006   Voltaje salida del Motor</t>
  </si>
  <si>
    <t>3000CV006   Voltaje Bus DC del Motor</t>
  </si>
  <si>
    <t>3000CV006   Referencia Local</t>
  </si>
  <si>
    <t>3000CV006   Referencia Remoto</t>
  </si>
  <si>
    <t>3000EL001   Horometro</t>
  </si>
  <si>
    <t>3000EL002   Horometro</t>
  </si>
  <si>
    <t>3000FE001   Referencia Actual</t>
  </si>
  <si>
    <t>3000FE001   Corriente Promedio AD</t>
  </si>
  <si>
    <t>3000FE001   Corriente Fase A AD</t>
  </si>
  <si>
    <t>3000FE001   Corriente Fase B AD</t>
  </si>
  <si>
    <t>3000FE001   Corriente Fase C AD</t>
  </si>
  <si>
    <t>3000FE001   Desbalance de Corriente AD</t>
  </si>
  <si>
    <t>3000FE001   Horometro</t>
  </si>
  <si>
    <t>3000FE001   Frecuencia del Motor</t>
  </si>
  <si>
    <t>3000FE001   Corriente salida del Motor</t>
  </si>
  <si>
    <t>3000FE001   Voltaje salida del Motor</t>
  </si>
  <si>
    <t>3000FE001   Voltaje Bus DC del Motor</t>
  </si>
  <si>
    <t>3000FE001   Referencia Local</t>
  </si>
  <si>
    <t>3000FE001   Referencia Remoto</t>
  </si>
  <si>
    <t>3000VE001   Corriente Promedio AD</t>
  </si>
  <si>
    <t>3000VE001   Corriente Fase A AD</t>
  </si>
  <si>
    <t>3000VE001   Corriente Fase B AD</t>
  </si>
  <si>
    <t>3000VE001   Corriente Fase C AD</t>
  </si>
  <si>
    <t>3000VE001   Desbalance de Corriente AD</t>
  </si>
  <si>
    <t>3000VE001   Horometro</t>
  </si>
  <si>
    <t>3000VE002   Corriente Promedio</t>
  </si>
  <si>
    <t>3000VE002   Corriente Fase A</t>
  </si>
  <si>
    <t>3000VE002   Corriente Fase B</t>
  </si>
  <si>
    <t>3000VE002   Corriente Fase C</t>
  </si>
  <si>
    <t>3000VE002   Horometro</t>
  </si>
  <si>
    <t>3000VE002   Potencia Activa</t>
  </si>
  <si>
    <t>3000VE002   Potencia Reactiva</t>
  </si>
  <si>
    <t>3000VE003   Corriente Promedio AD</t>
  </si>
  <si>
    <t>3000VE003   Corriente Fase A AD</t>
  </si>
  <si>
    <t>3000VE003   Corriente Fase B AD</t>
  </si>
  <si>
    <t>3000VE003   Corriente Fase C AD</t>
  </si>
  <si>
    <t>3000VE003   Horometro</t>
  </si>
  <si>
    <t>3000VE003   Potencia Activa</t>
  </si>
  <si>
    <t>3000VE003   Potencia Reactiva</t>
  </si>
  <si>
    <t>3000VR002   Corriente Promedio AD</t>
  </si>
  <si>
    <t>3000VR002   Corriente Fase A AD</t>
  </si>
  <si>
    <t>3000VR002   Corriente Fase B AD</t>
  </si>
  <si>
    <t>3000VR002   Corriente Fase C AD</t>
  </si>
  <si>
    <t>3000VR002   Desbalance de Corriente AD</t>
  </si>
  <si>
    <t>3000VR002   Horometro</t>
  </si>
  <si>
    <t>3000VR003   Corriente Promedio AD</t>
  </si>
  <si>
    <t>3000VR003   Corriente Fase A AD</t>
  </si>
  <si>
    <t>3000VR003   Corriente Fase B AD</t>
  </si>
  <si>
    <t>3000VR003   Corriente Fase C AD</t>
  </si>
  <si>
    <t>3000VR003   Desbalance de Corriente AD</t>
  </si>
  <si>
    <t>3000VR003   Horometro</t>
  </si>
  <si>
    <t>4200BA001   Corriente Promedio AD</t>
  </si>
  <si>
    <t>4200BA001   Corriente Fase A AD</t>
  </si>
  <si>
    <t>4200BA001   Corriente Fase B AD</t>
  </si>
  <si>
    <t>4200BA001   Corriente Fase C AD</t>
  </si>
  <si>
    <t>4200BA001   Horometro</t>
  </si>
  <si>
    <t>4200BA001   Potencia Activa</t>
  </si>
  <si>
    <t>4200BA001   Potencia Reactiva</t>
  </si>
  <si>
    <t>4200BA002   Corriente Promedio AD</t>
  </si>
  <si>
    <t>4200BA002   Corriente Fase A AD</t>
  </si>
  <si>
    <t>4200BA002   Corriente Fase B AD</t>
  </si>
  <si>
    <t>4200BA002   Corriente Fase C AD</t>
  </si>
  <si>
    <t>4200BA002   Horometro</t>
  </si>
  <si>
    <t>4200BA002   Potencia Activa</t>
  </si>
  <si>
    <t>4200BA002   Potencia Reactiva</t>
  </si>
  <si>
    <t>4200BA003   Corriente Promedio AD</t>
  </si>
  <si>
    <t>4200BA003   Corriente Fase A AD</t>
  </si>
  <si>
    <t>4200BA003   Corriente Fase B AD</t>
  </si>
  <si>
    <t>4200BA003   Corriente Fase C AD</t>
  </si>
  <si>
    <t>4200BA003   Horometro</t>
  </si>
  <si>
    <t>4200BA004   Corriente Promedio AD</t>
  </si>
  <si>
    <t>4200BA004   Corriente Fase A AD</t>
  </si>
  <si>
    <t>4200BA004   Corriente Fase B AD</t>
  </si>
  <si>
    <t>4200BA004   Corriente Fase C AD</t>
  </si>
  <si>
    <t>4200BA004   Horometro</t>
  </si>
  <si>
    <t>4200BS001   Corriente Promedio AD</t>
  </si>
  <si>
    <t>4200BS001   Corriente Fase A AD</t>
  </si>
  <si>
    <t>4200BS001   Corriente Fase B AD</t>
  </si>
  <si>
    <t>4200BS001   Corriente Fase C AD</t>
  </si>
  <si>
    <t>4200BS001   Horometro</t>
  </si>
  <si>
    <t>4200BS001   Potencia Activa</t>
  </si>
  <si>
    <t>4200BS001   Potencia Reactiva</t>
  </si>
  <si>
    <t>4200BS002   Corriente Promedio AD</t>
  </si>
  <si>
    <t>4200BS002   Corriente Fase A AD</t>
  </si>
  <si>
    <t>4200BS002   Corriente Fase B AD</t>
  </si>
  <si>
    <t>4200BS002   Corriente Fase C AD</t>
  </si>
  <si>
    <t>4200BS002   Horometro</t>
  </si>
  <si>
    <t>4200BS002   Potencia Activa</t>
  </si>
  <si>
    <t>4200BS002   Potencia Reactiva</t>
  </si>
  <si>
    <t>4400BA001   Corriente Promedio AD</t>
  </si>
  <si>
    <t>4400BA001   Corriente Fase A AD</t>
  </si>
  <si>
    <t>4400BA001   Corriente Fase B AD</t>
  </si>
  <si>
    <t>4400BA001   Corriente Fase C AD</t>
  </si>
  <si>
    <t>4400BA001   Desbalance de Corriente</t>
  </si>
  <si>
    <t>4400BA001   Horometro</t>
  </si>
  <si>
    <t>4400BA002   Corriente Promedio AD</t>
  </si>
  <si>
    <t>4400BA002   Corriente Fase A AD</t>
  </si>
  <si>
    <t>4400BA002   Corriente Fase B AD</t>
  </si>
  <si>
    <t>4400BA002   Corriente Fase C AD</t>
  </si>
  <si>
    <t>4400BA002   Desbalance de Corriente</t>
  </si>
  <si>
    <t>4400BA002   Horometro</t>
  </si>
  <si>
    <t>4400BS001   Corriente Promedio AD</t>
  </si>
  <si>
    <t>4400BS001   Corriente Fase A AD</t>
  </si>
  <si>
    <t>4400BS001   Corriente Fase B AD</t>
  </si>
  <si>
    <t>4400BS001   Corriente Fase C AD</t>
  </si>
  <si>
    <t>4400BS001   Desbalance de Corriente</t>
  </si>
  <si>
    <t>4400BS001   Horometro</t>
  </si>
  <si>
    <t>4400BS002   Corriente Promedio AD</t>
  </si>
  <si>
    <t>4400BS002   Corriente Fase A AD</t>
  </si>
  <si>
    <t>4400BS002   Corriente Fase B AD</t>
  </si>
  <si>
    <t>4400BS002   Corriente Fase C AD</t>
  </si>
  <si>
    <t>4400BS002   Horometro</t>
  </si>
  <si>
    <t>4400ES001   Corriente Promedio AD</t>
  </si>
  <si>
    <t>4400ES001   Corriente Fase A AD</t>
  </si>
  <si>
    <t>4400ES001   Corriente Fase B AD</t>
  </si>
  <si>
    <t>4400ES001   Corriente Fase C AD</t>
  </si>
  <si>
    <t>4400ES001   Desbalance de Corriente</t>
  </si>
  <si>
    <t>4400ES001   Horometro</t>
  </si>
  <si>
    <t>4400ES002   Corriente Promedio AD</t>
  </si>
  <si>
    <t>4400ES002   Corriente Fase A AD</t>
  </si>
  <si>
    <t>4400ES002   Corriente Fase B AD</t>
  </si>
  <si>
    <t>4400ES002   Corriente Fase C AD</t>
  </si>
  <si>
    <t>4400ES002   Desbalance de Corriente</t>
  </si>
  <si>
    <t>4400ES002   Horometro</t>
  </si>
  <si>
    <t>3000MC001   Factor de Potencia</t>
  </si>
  <si>
    <t>3000MC003   Factor de Potencia</t>
  </si>
  <si>
    <t>3000MC002   Factor de Potencia</t>
  </si>
  <si>
    <t>4200MC001   Factor de Potencia</t>
  </si>
  <si>
    <t>2000MC001   Factor de Potencia</t>
  </si>
  <si>
    <t>3000MC001   Corriente Fase A</t>
  </si>
  <si>
    <t>3000MC003   Corriente Fase A</t>
  </si>
  <si>
    <t>3000MC002   Corriente Fase A</t>
  </si>
  <si>
    <t>4200MC001   Corriente Fase A</t>
  </si>
  <si>
    <t>2000MC001   Corriente Fase A</t>
  </si>
  <si>
    <t>3000MC001   Corriente Fase B</t>
  </si>
  <si>
    <t>3000MC003   Corriente Fase B</t>
  </si>
  <si>
    <t>3000MC002   Corriente Fase B</t>
  </si>
  <si>
    <t>4200MC001   Corriente Fase B</t>
  </si>
  <si>
    <t>2000MC001   Corriente Fase B</t>
  </si>
  <si>
    <t>3000MC001   Corriente Fase C</t>
  </si>
  <si>
    <t>3000MC003   Corriente Fase C</t>
  </si>
  <si>
    <t>3000MC002   Corriente Fase C</t>
  </si>
  <si>
    <t>4200MC001   Corriente Fase C</t>
  </si>
  <si>
    <t>2000MC001   Corriente Fase C</t>
  </si>
  <si>
    <t>3000MC001   Potencia Reactiva</t>
  </si>
  <si>
    <t>3000MC003   Potencia Reactiva</t>
  </si>
  <si>
    <t>3000MC002   Potencia Reactiva</t>
  </si>
  <si>
    <t>4200MC001   Potencia Reactiva</t>
  </si>
  <si>
    <t>2000MC001   Potencia Reactiva</t>
  </si>
  <si>
    <t>3000MC001   Energía Activa Negativa</t>
  </si>
  <si>
    <t>3000MC003   Energía Activa Negativa</t>
  </si>
  <si>
    <t>3000MC002   Energía Activa Negativa</t>
  </si>
  <si>
    <t>4200MC001   Energía Activa Negativa</t>
  </si>
  <si>
    <t>2000MC001   Energía Activa Negativa</t>
  </si>
  <si>
    <t>3000MC001   Energía Activa Positiva</t>
  </si>
  <si>
    <t>3000MC003   Energía Activa Positiva</t>
  </si>
  <si>
    <t>3000MC002   Energía Activa Positiva</t>
  </si>
  <si>
    <t>4200MC001   Energía Activa Positiva</t>
  </si>
  <si>
    <t>2000MC001   Energía Activa Positiva</t>
  </si>
  <si>
    <t>3000MC001   Potencia Activa</t>
  </si>
  <si>
    <t>3000MC003   Potencia Activa</t>
  </si>
  <si>
    <t>3000MC002   Potencia Activa</t>
  </si>
  <si>
    <t>4200MC001   Potencia Activa</t>
  </si>
  <si>
    <t>2000MC001   Potencia Activa</t>
  </si>
  <si>
    <t>1000BF001   Carga en Balanza</t>
  </si>
  <si>
    <t>1000BF001   Total Operador</t>
  </si>
  <si>
    <t>1000BF001   Parcial de Balanza</t>
  </si>
  <si>
    <t>1000BF001   Velocidad</t>
  </si>
  <si>
    <t>1000BF001   Totalizador de Balanza</t>
  </si>
  <si>
    <t>3000BF001   Carga en Balanza</t>
  </si>
  <si>
    <t>3000BF001   Total Operador</t>
  </si>
  <si>
    <t>3000BF001   Parcial de Balanza</t>
  </si>
  <si>
    <t>3000BF001   Flujo de Carga</t>
  </si>
  <si>
    <t>3000BF001   Velocidad</t>
  </si>
  <si>
    <t>3000BF001   Totalizador de Balanza</t>
  </si>
  <si>
    <t>3000VG001   Corriente Promedio</t>
  </si>
  <si>
    <t>3000VG001   Peso Bruto</t>
  </si>
  <si>
    <t>3000VG001   Nivel de Tolva a la Entrada</t>
  </si>
  <si>
    <t>3000VG001   Nivel de Tolva a la Salida</t>
  </si>
  <si>
    <t>3000VG001   Peso Neto</t>
  </si>
  <si>
    <t>3000VG001   Tara</t>
  </si>
  <si>
    <t>3000MC001   Voltaje A-B</t>
  </si>
  <si>
    <t>3000MC003   Voltaje A-B</t>
  </si>
  <si>
    <t>3000MC002   Voltaje A-B</t>
  </si>
  <si>
    <t>4200MC001   Voltaje A-B</t>
  </si>
  <si>
    <t>2000MC001   Voltaje A-B</t>
  </si>
  <si>
    <t>3000MC001   Voltaje B-C</t>
  </si>
  <si>
    <t>3000MC003   Voltaje B-C</t>
  </si>
  <si>
    <t>3000MC002   Voltaje B-C</t>
  </si>
  <si>
    <t>4200MC001   Voltaje B-C</t>
  </si>
  <si>
    <t>2000MC001   Voltaje B-C</t>
  </si>
  <si>
    <t>3000MC001   Voltaje C-A</t>
  </si>
  <si>
    <t>3000MC003   Voltaje C-A</t>
  </si>
  <si>
    <t>3000MC002   Voltaje C-A</t>
  </si>
  <si>
    <t>4200MC001   Voltaje C-A</t>
  </si>
  <si>
    <t>2000MC001   Voltaje C-A</t>
  </si>
  <si>
    <t>Horas</t>
  </si>
  <si>
    <t>Minutos</t>
  </si>
  <si>
    <t>Días</t>
  </si>
  <si>
    <t xml:space="preserve">Periodo :  </t>
  </si>
  <si>
    <t>SISTEMA DE CONTROL DE ALMACENES IMPALA PERU</t>
  </si>
  <si>
    <t>REPORTE DE VARIABLES DE PROCESO PROMEDIADAS</t>
  </si>
  <si>
    <t>Ninguno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</si>
</sst>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[$-F800]dddd\,\ mmmm\ dd\,\ yyyy"/>
    <numFmt numFmtId="166" formatCode="h:mm:ss;@"/>
    <numFmt numFmtId="167" formatCode="dd/mm/yy;@"/>
    <numFmt numFmtId="168" formatCode="dd/mm/yy\ hh:mm:ss\ AM/PM"/>
    <numFmt numFmtId="169" formatCode="dd\-mmm\-yy\ hh:mm:ss"/>
    <numFmt numFmtId="170" formatCode="[Blue]General"/>
    <numFmt numFmtId="171" formatCode="hh:mm:ss;@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6"/>
      <name val="Arial"/>
      <family val="2"/>
    </font>
    <font>
      <sz val="10"/>
      <color indexed="8"/>
      <name val="Arial"/>
      <family val="2"/>
    </font>
    <font>
      <b/>
      <sz val="10"/>
      <name val="Calibri"/>
      <family val="2"/>
      <scheme val="minor"/>
    </font>
    <font>
      <b/>
      <sz val="7"/>
      <name val="Arial"/>
      <family val="2"/>
    </font>
    <font>
      <b/>
      <sz val="7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165" fontId="7" fillId="0" borderId="0"/>
  </cellStyleXfs>
  <cellXfs count="34">
    <xf numFmtId="0" fontId="0" fillId="0" borderId="0" xfId="0"/>
    <xf numFmtId="0" fontId="3" fillId="0" borderId="0" xfId="1" applyFont="1" applyAlignment="1">
      <alignment horizontal="center" vertical="center"/>
    </xf>
    <xf numFmtId="0" fontId="7" fillId="0" borderId="0" xfId="1" applyAlignment="1">
      <alignment horizontal="center" vertical="center"/>
    </xf>
    <xf numFmtId="164" fontId="7" fillId="0" borderId="0" xfId="1" applyNumberForma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8" fillId="5" borderId="1" xfId="1" applyFont="1" applyFill="1" applyBorder="1" applyAlignment="1">
      <alignment vertical="center"/>
    </xf>
    <xf numFmtId="169" fontId="0" fillId="0" borderId="0" xfId="0" applyNumberFormat="1" applyAlignment="1">
      <alignment horizontal="left"/>
    </xf>
    <xf numFmtId="170" fontId="7" fillId="0" borderId="0" xfId="0" applyNumberFormat="1" applyFont="1"/>
    <xf numFmtId="0" fontId="7" fillId="0" borderId="0" xfId="0" applyFont="1"/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167" fontId="7" fillId="0" borderId="1" xfId="1" applyNumberFormat="1" applyBorder="1" applyAlignment="1" applyProtection="1">
      <alignment horizontal="center" vertical="center"/>
      <protection locked="0"/>
    </xf>
    <xf numFmtId="166" fontId="7" fillId="0" borderId="1" xfId="1" applyNumberFormat="1" applyBorder="1" applyAlignment="1" applyProtection="1">
      <alignment horizontal="center" vertical="center"/>
      <protection locked="0"/>
    </xf>
    <xf numFmtId="164" fontId="5" fillId="2" borderId="1" xfId="1" applyNumberFormat="1" applyFont="1" applyFill="1" applyBorder="1" applyAlignment="1" applyProtection="1">
      <alignment horizontal="center" vertical="center"/>
      <protection locked="0"/>
    </xf>
    <xf numFmtId="164" fontId="5" fillId="2" borderId="2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8" fontId="7" fillId="6" borderId="2" xfId="1" applyNumberFormat="1" applyFill="1" applyBorder="1" applyAlignment="1">
      <alignment vertical="center"/>
    </xf>
    <xf numFmtId="168" fontId="7" fillId="6" borderId="2" xfId="1" applyNumberFormat="1" applyFill="1" applyBorder="1" applyAlignment="1" applyProtection="1">
      <alignment vertical="center"/>
      <protection locked="0"/>
    </xf>
    <xf numFmtId="164" fontId="8" fillId="0" borderId="0" xfId="1" applyNumberFormat="1" applyFont="1" applyAlignment="1" applyProtection="1">
      <alignment horizontal="right" vertical="center"/>
      <protection locked="0"/>
    </xf>
    <xf numFmtId="0" fontId="8" fillId="0" borderId="1" xfId="1" applyFont="1" applyBorder="1" applyAlignment="1">
      <alignment horizontal="left" vertical="center"/>
    </xf>
    <xf numFmtId="0" fontId="8" fillId="0" borderId="3" xfId="1" applyFont="1" applyBorder="1" applyAlignment="1">
      <alignment horizontal="right" vertical="center"/>
    </xf>
    <xf numFmtId="164" fontId="8" fillId="0" borderId="3" xfId="1" applyNumberFormat="1" applyFont="1" applyBorder="1" applyAlignment="1">
      <alignment horizontal="right" vertical="center"/>
    </xf>
    <xf numFmtId="14" fontId="7" fillId="0" borderId="0" xfId="0" applyNumberFormat="1" applyFont="1" applyAlignment="1">
      <alignment horizontal="left"/>
    </xf>
    <xf numFmtId="14" fontId="0" fillId="0" borderId="0" xfId="0" applyNumberFormat="1" applyAlignment="1">
      <alignment horizontal="left"/>
    </xf>
    <xf numFmtId="171" fontId="7" fillId="0" borderId="0" xfId="0" applyNumberFormat="1" applyFont="1" applyAlignment="1">
      <alignment horizontal="left"/>
    </xf>
    <xf numFmtId="171" fontId="0" fillId="0" borderId="0" xfId="0" applyNumberFormat="1" applyAlignment="1">
      <alignment horizontal="left"/>
    </xf>
    <xf numFmtId="2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164" fontId="4" fillId="0" borderId="0" xfId="1" applyNumberFormat="1" applyFont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</cellXfs>
  <cellStyles count="10">
    <cellStyle name="Normal" xfId="0" builtinId="0"/>
    <cellStyle name="Normal 2" xfId="1" xr:uid="{00000000-0005-0000-0000-000001000000}"/>
    <cellStyle name="Normal 2 2" xfId="4" xr:uid="{00000000-0005-0000-0000-000002000000}"/>
    <cellStyle name="Normal 3" xfId="5" xr:uid="{00000000-0005-0000-0000-000003000000}"/>
    <cellStyle name="Normal 4" xfId="6" xr:uid="{00000000-0005-0000-0000-000004000000}"/>
    <cellStyle name="Normal 4 2" xfId="7" xr:uid="{00000000-0005-0000-0000-000005000000}"/>
    <cellStyle name="Normal 5" xfId="8" xr:uid="{00000000-0005-0000-0000-000006000000}"/>
    <cellStyle name="Normal 6" xfId="3" xr:uid="{00000000-0005-0000-0000-000007000000}"/>
    <cellStyle name="Normal 7" xfId="9" xr:uid="{00000000-0005-0000-0000-000008000000}"/>
    <cellStyle name="Normal 8" xfId="2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5" fmlaLink="$C$10" fmlaRange="analogicos" noThreeD="1" sel="233" val="231"/>
</file>

<file path=xl/ctrlProps/ctrlProp2.xml><?xml version="1.0" encoding="utf-8"?>
<formControlPr xmlns="http://schemas.microsoft.com/office/spreadsheetml/2009/9/main" objectType="Drop" dropStyle="combo" dx="15" fmlaLink="$D$10" fmlaRange="analogicos" noThreeD="1" sel="235" val="233"/>
</file>

<file path=xl/ctrlProps/ctrlProp3.xml><?xml version="1.0" encoding="utf-8"?>
<formControlPr xmlns="http://schemas.microsoft.com/office/spreadsheetml/2009/9/main" objectType="Drop" dropStyle="combo" dx="15" fmlaLink="$E$10" fmlaRange="analogicos" noThreeD="1" sel="236" val="232"/>
</file>

<file path=xl/ctrlProps/ctrlProp4.xml><?xml version="1.0" encoding="utf-8"?>
<formControlPr xmlns="http://schemas.microsoft.com/office/spreadsheetml/2009/9/main" objectType="Drop" dropStyle="combo" dx="15" fmlaLink="$F$10" fmlaRange="analogicos" noThreeD="1" sel="237" val="231"/>
</file>

<file path=xl/ctrlProps/ctrlProp5.xml><?xml version="1.0" encoding="utf-8"?>
<formControlPr xmlns="http://schemas.microsoft.com/office/spreadsheetml/2009/9/main" objectType="Drop" dropStyle="combo" dx="15" fmlaLink="$G$10" fmlaRange="analogicos" noThreeD="1" sel="239" val="237"/>
</file>

<file path=xl/ctrlProps/ctrlProp6.xml><?xml version="1.0" encoding="utf-8"?>
<formControlPr xmlns="http://schemas.microsoft.com/office/spreadsheetml/2009/9/main" objectType="Drop" dropStyle="combo" dx="15" fmlaLink="$H$10" fmlaRange="analogicos" noThreeD="1" sel="240" val="238"/>
</file>

<file path=xl/ctrlProps/ctrlProp7.xml><?xml version="1.0" encoding="utf-8"?>
<formControlPr xmlns="http://schemas.microsoft.com/office/spreadsheetml/2009/9/main" objectType="Drop" dropStyle="combo" dx="15" fmlaLink="TAGS!$M$5" fmlaRange="TAGS!$N$2:$N$3" noThreeD="1" sel="2" val="0"/>
</file>

<file path=xl/ctrlProps/ctrlProp8.xml><?xml version="1.0" encoding="utf-8"?>
<formControlPr xmlns="http://schemas.microsoft.com/office/spreadsheetml/2009/9/main" objectType="Drop" dropStyle="combo" dx="15" fmlaLink="$I$10" fmlaRange="analogicos" noThreeD="1" sel="241" val="238"/>
</file>

<file path=xl/ctrlProps/ctrlProp9.xml><?xml version="1.0" encoding="utf-8"?>
<formControlPr xmlns="http://schemas.microsoft.com/office/spreadsheetml/2009/9/main" objectType="Drop" dropStyle="combo" dx="15" fmlaLink="TAGS!$M$16" fmlaRange="TAGS!$P$13:$P$14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28576</xdr:rowOff>
    </xdr:from>
    <xdr:to>
      <xdr:col>1</xdr:col>
      <xdr:colOff>552450</xdr:colOff>
      <xdr:row>4</xdr:row>
      <xdr:rowOff>115795</xdr:rowOff>
    </xdr:to>
    <xdr:pic>
      <xdr:nvPicPr>
        <xdr:cNvPr id="4" name="Imagen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28576"/>
          <a:ext cx="1219200" cy="811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1771650</xdr:colOff>
      <xdr:row>1</xdr:row>
      <xdr:rowOff>9525</xdr:rowOff>
    </xdr:from>
    <xdr:to>
      <xdr:col>8</xdr:col>
      <xdr:colOff>1794164</xdr:colOff>
      <xdr:row>3</xdr:row>
      <xdr:rowOff>129020</xdr:rowOff>
    </xdr:to>
    <xdr:pic>
      <xdr:nvPicPr>
        <xdr:cNvPr id="5" name="Picture 6" descr="logo manelsa con fon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7059" t="20878" r="8543" b="22183"/>
        <a:stretch>
          <a:fillRect/>
        </a:stretch>
      </xdr:blipFill>
      <xdr:spPr bwMode="auto">
        <a:xfrm>
          <a:off x="12344400" y="171450"/>
          <a:ext cx="1870364" cy="5195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152400</xdr:rowOff>
        </xdr:from>
        <xdr:to>
          <xdr:col>1</xdr:col>
          <xdr:colOff>266700</xdr:colOff>
          <xdr:row>6</xdr:row>
          <xdr:rowOff>123825</xdr:rowOff>
        </xdr:to>
        <xdr:sp macro="" textlink="">
          <xdr:nvSpPr>
            <xdr:cNvPr id="3074" name="ACTUALIZA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5</xdr:row>
          <xdr:rowOff>0</xdr:rowOff>
        </xdr:from>
        <xdr:to>
          <xdr:col>2</xdr:col>
          <xdr:colOff>609600</xdr:colOff>
          <xdr:row>6</xdr:row>
          <xdr:rowOff>133350</xdr:rowOff>
        </xdr:to>
        <xdr:sp macro="" textlink="">
          <xdr:nvSpPr>
            <xdr:cNvPr id="3075" name="GUARDAR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8</xdr:row>
          <xdr:rowOff>152400</xdr:rowOff>
        </xdr:from>
        <xdr:to>
          <xdr:col>3</xdr:col>
          <xdr:colOff>0</xdr:colOff>
          <xdr:row>10</xdr:row>
          <xdr:rowOff>9525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152400</xdr:rowOff>
        </xdr:from>
        <xdr:to>
          <xdr:col>4</xdr:col>
          <xdr:colOff>0</xdr:colOff>
          <xdr:row>10</xdr:row>
          <xdr:rowOff>9525</xdr:rowOff>
        </xdr:to>
        <xdr:sp macro="" textlink="">
          <xdr:nvSpPr>
            <xdr:cNvPr id="3082" name="Drop Dow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152400</xdr:rowOff>
        </xdr:from>
        <xdr:to>
          <xdr:col>5</xdr:col>
          <xdr:colOff>9525</xdr:colOff>
          <xdr:row>10</xdr:row>
          <xdr:rowOff>0</xdr:rowOff>
        </xdr:to>
        <xdr:sp macro="" textlink="">
          <xdr:nvSpPr>
            <xdr:cNvPr id="3083" name="Drop Dow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152400</xdr:rowOff>
        </xdr:from>
        <xdr:to>
          <xdr:col>6</xdr:col>
          <xdr:colOff>19050</xdr:colOff>
          <xdr:row>10</xdr:row>
          <xdr:rowOff>0</xdr:rowOff>
        </xdr:to>
        <xdr:sp macro="" textlink="">
          <xdr:nvSpPr>
            <xdr:cNvPr id="3084" name="Drop Dow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152400</xdr:rowOff>
        </xdr:from>
        <xdr:to>
          <xdr:col>7</xdr:col>
          <xdr:colOff>9525</xdr:colOff>
          <xdr:row>10</xdr:row>
          <xdr:rowOff>0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152400</xdr:rowOff>
        </xdr:from>
        <xdr:to>
          <xdr:col>8</xdr:col>
          <xdr:colOff>0</xdr:colOff>
          <xdr:row>10</xdr:row>
          <xdr:rowOff>19050</xdr:rowOff>
        </xdr:to>
        <xdr:sp macro="" textlink="">
          <xdr:nvSpPr>
            <xdr:cNvPr id="3086" name="Drop Dow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142875</xdr:rowOff>
        </xdr:from>
        <xdr:to>
          <xdr:col>2</xdr:col>
          <xdr:colOff>123825</xdr:colOff>
          <xdr:row>8</xdr:row>
          <xdr:rowOff>19050</xdr:rowOff>
        </xdr:to>
        <xdr:sp macro="" textlink="">
          <xdr:nvSpPr>
            <xdr:cNvPr id="3087" name="Drop Dow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152400</xdr:rowOff>
        </xdr:from>
        <xdr:to>
          <xdr:col>9</xdr:col>
          <xdr:colOff>0</xdr:colOff>
          <xdr:row>10</xdr:row>
          <xdr:rowOff>9525</xdr:rowOff>
        </xdr:to>
        <xdr:sp macro="" textlink="">
          <xdr:nvSpPr>
            <xdr:cNvPr id="3120" name="Drop Dow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1819275</xdr:colOff>
          <xdr:row>6</xdr:row>
          <xdr:rowOff>152400</xdr:rowOff>
        </xdr:from>
        <xdr:to>
          <xdr:col>3</xdr:col>
          <xdr:colOff>1200150</xdr:colOff>
          <xdr:row>8</xdr:row>
          <xdr:rowOff>28575</xdr:rowOff>
        </xdr:to>
        <xdr:sp macro="" textlink="">
          <xdr:nvSpPr>
            <xdr:cNvPr id="3122" name="Drop Dow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Microsoft%20Office\root\Office16\LIBRARY\iHistorian.xla" TargetMode="External"/><Relationship Id="rId1" Type="http://schemas.microsoft.com/office/2006/relationships/xlExternalLinkPath/xlLibrary" Target="iHistoria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ihQuery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2:J1452"/>
  <sheetViews>
    <sheetView showGridLines="0" tabSelected="1" zoomScaleSheetLayoutView="100" workbookViewId="0">
      <pane ySplit="12" topLeftCell="A350" activePane="bottomLeft" state="frozen"/>
      <selection pane="bottomLeft" activeCell="F6" sqref="F6"/>
    </sheetView>
  </sheetViews>
  <sheetFormatPr baseColWidth="10" defaultColWidth="0" defaultRowHeight="12.75" x14ac:dyDescent="0.2"/>
  <cols>
    <col min="1" max="1" width="10.42578125" style="1" customWidth="1"/>
    <col min="2" max="2" width="9.5703125" style="2" bestFit="1" customWidth="1"/>
    <col min="3" max="5" width="27.7109375" style="3" customWidth="1"/>
    <col min="6" max="7" width="27.7109375" style="2" customWidth="1"/>
    <col min="8" max="9" width="27.7109375" style="3" customWidth="1"/>
    <col min="10" max="10" width="0" style="2" hidden="1" customWidth="1"/>
    <col min="11" max="16384" width="27.7109375" style="2" hidden="1"/>
  </cols>
  <sheetData>
    <row r="2" spans="1:9" ht="18" x14ac:dyDescent="0.2">
      <c r="A2" s="28" t="s">
        <v>1043</v>
      </c>
      <c r="B2" s="28"/>
      <c r="C2" s="28"/>
      <c r="D2" s="28"/>
      <c r="E2" s="28"/>
      <c r="F2" s="28"/>
      <c r="G2" s="28"/>
      <c r="H2" s="28"/>
      <c r="I2" s="28"/>
    </row>
    <row r="3" spans="1:9" ht="15" x14ac:dyDescent="0.2">
      <c r="A3" s="29" t="s">
        <v>1044</v>
      </c>
      <c r="B3" s="29"/>
      <c r="C3" s="29"/>
      <c r="D3" s="29"/>
      <c r="E3" s="29"/>
      <c r="F3" s="29"/>
      <c r="G3" s="29"/>
      <c r="H3" s="29"/>
      <c r="I3" s="29"/>
    </row>
    <row r="5" spans="1:9" x14ac:dyDescent="0.2">
      <c r="A5" s="30"/>
      <c r="B5" s="30"/>
      <c r="C5" s="2"/>
      <c r="E5" s="20" t="s">
        <v>2</v>
      </c>
      <c r="F5" s="11">
        <v>45658</v>
      </c>
      <c r="H5" s="5" t="s">
        <v>4</v>
      </c>
      <c r="I5" s="16">
        <f>F5+F6</f>
        <v>45658</v>
      </c>
    </row>
    <row r="6" spans="1:9" x14ac:dyDescent="0.2">
      <c r="A6" s="2">
        <f>TAGS!Q16</f>
        <v>3600000</v>
      </c>
      <c r="E6" s="21" t="s">
        <v>3</v>
      </c>
      <c r="F6" s="12">
        <v>0</v>
      </c>
      <c r="H6" s="5" t="s">
        <v>5</v>
      </c>
      <c r="I6" s="17">
        <f>I5+30</f>
        <v>45688</v>
      </c>
    </row>
    <row r="8" spans="1:9" x14ac:dyDescent="0.2">
      <c r="A8" s="19" t="s">
        <v>6</v>
      </c>
      <c r="B8" s="3" t="str">
        <f>TAGS!N5</f>
        <v>Mensual</v>
      </c>
      <c r="C8" s="18" t="s">
        <v>1042</v>
      </c>
      <c r="D8" s="3" t="str">
        <f>TAGS!P16</f>
        <v>Horas</v>
      </c>
    </row>
    <row r="10" spans="1:9" s="4" customFormat="1" ht="15" customHeight="1" x14ac:dyDescent="0.2">
      <c r="A10" s="31" t="s">
        <v>0</v>
      </c>
      <c r="B10" s="32" t="s">
        <v>1</v>
      </c>
      <c r="C10" s="13">
        <v>233</v>
      </c>
      <c r="D10" s="13">
        <v>235</v>
      </c>
      <c r="E10" s="13">
        <v>236</v>
      </c>
      <c r="F10" s="13">
        <v>237</v>
      </c>
      <c r="G10" s="13">
        <v>239</v>
      </c>
      <c r="H10" s="14">
        <v>240</v>
      </c>
      <c r="I10" s="13">
        <v>241</v>
      </c>
    </row>
    <row r="11" spans="1:9" s="4" customFormat="1" ht="15" customHeight="1" x14ac:dyDescent="0.2">
      <c r="A11" s="31"/>
      <c r="B11" s="32"/>
      <c r="C11" s="33" t="str">
        <f>LOOKUP(C10,TAGS!$D$2:$D$513,TAGS!$B$2:$B$513)</f>
        <v>SRV002.M3000CV004PAR_1.F_CV - 3000CV004   Corriente salida del Motor</v>
      </c>
      <c r="D11" s="33" t="str">
        <f>LOOKUP(D10,TAGS!$D$2:$D$513,TAGS!$B$2:$B$513)</f>
        <v>SRV002.M3000CV004PAR_0.F_CV - 3000CV004   Frecuencia del Motor</v>
      </c>
      <c r="E11" s="33" t="str">
        <f>LOOKUP(E10,TAGS!$D$2:$D$513,TAGS!$B$2:$B$513)</f>
        <v>SRV002.M3000CV004HRS.F_CV - 3000CV004   Horometro</v>
      </c>
      <c r="F11" s="33" t="str">
        <f>LOOKUP(F10,TAGS!$D$2:$D$513,TAGS!$B$2:$B$513)</f>
        <v>SRV002.M3000CV004ACT.F_CV - 3000CV004   Referencia Actual</v>
      </c>
      <c r="G11" s="33" t="str">
        <f>LOOKUP(G10,TAGS!$D$2:$D$513,TAGS!$B$2:$B$513)</f>
        <v>SRV002.M3000CV004REF.F_CV - 3000CV004   Referencia Remoto</v>
      </c>
      <c r="H11" s="33" t="str">
        <f>LOOKUP(H10,TAGS!$D$2:$D$513,TAGS!$B$2:$B$513)</f>
        <v>SRV002.M3000CV004PAR_3.F_CV - 3000CV004   Voltaje Bus DC del Motor</v>
      </c>
      <c r="I11" s="33" t="str">
        <f>LOOKUP(I10,TAGS!$D$2:$D$513,TAGS!$B$2:$B$513)</f>
        <v>SRV002.M3000CV004PAR_2.F_CV - 3000CV004   Voltaje salida del Motor</v>
      </c>
    </row>
    <row r="12" spans="1:9" s="4" customFormat="1" ht="49.5" customHeight="1" x14ac:dyDescent="0.2">
      <c r="A12" s="31"/>
      <c r="B12" s="32"/>
      <c r="C12" s="33"/>
      <c r="D12" s="33"/>
      <c r="E12" s="33"/>
      <c r="F12" s="33"/>
      <c r="G12" s="33"/>
      <c r="H12" s="33"/>
      <c r="I12" s="33"/>
    </row>
    <row r="13" spans="1:9" x14ac:dyDescent="0.2">
      <c r="A13" s="22">
        <f t="array" ref="A13:A1452">[1]!ihQueryData("",TAGS!$F$2,DATOS!$I$5,DATOS!$I$6,"Calculated","RawAverage",$A$6,0,"Forward","","","","",1440,1,0,"Timestamp")</f>
        <v>45658.041666666664</v>
      </c>
      <c r="B13" s="24">
        <f t="array" ref="B13:B1452">[1]!ihQueryData("",TAGS!$F$2,DATOS!$I$5,DATOS!$I$6,"Calculated","RawAverage",$A$6,0,"Forward","","","","",1440,1,0,"Timestamp")</f>
        <v>45658.041666666664</v>
      </c>
      <c r="C13" s="26">
        <f t="array" ref="C13:C1452">IF(TAGS!$F$2="Ninguno","",IF([1]!ihQueryData("",TAGS!$F$2,DATOS!$I$5,DATOS!$I$6,"Calculated","RawAverage",$A$6,0,"Forward","","","","",1440,1,0,"Value")="Bad","",[1]!ihQueryData("",TAGS!$F$2,DATOS!$I$5,DATOS!$I$6,"Calculated","RawAverage",$A$6,0,"Forward","","","","",1440,1,0,"Value")))</f>
        <v>0</v>
      </c>
      <c r="D13" s="26">
        <f t="array" ref="D13:D1452">IF(TAGS!$F$3="Ninguno","",IF([1]!ihQueryData("",TAGS!$F$3,DATOS!$I$5,DATOS!$I$6,"Calculated","RawAverage",$A$6,0,"Forward","","","","",1440,1,0,"Value")="Bad","",[1]!ihQueryData("",TAGS!$F$3,DATOS!$I$5,DATOS!$I$6,"Calculated","RawAverage",$A$6,0,"Forward","","","","",1440,1,0,"Value")))</f>
        <v>0</v>
      </c>
      <c r="E13" s="26">
        <f t="array" ref="E13:E1452">IF(TAGS!$F$4="Ninguno","",IF([1]!ihQueryData("",TAGS!$F$4,DATOS!$I$5,DATOS!$I$6,"Calculated","RawAverage",$A$6,0,"Forward","","","","",1440,1,0,"Value")="Bad","",[1]!ihQueryData("",TAGS!$F$4,DATOS!$I$5,DATOS!$I$6,"Calculated","RawAverage",$A$6,0,"Forward","","","","",1440,1,0,"Value")))</f>
        <v>847.13336181640625</v>
      </c>
      <c r="F13" s="26">
        <f t="array" ref="F13:F1452">IF(TAGS!$F$5="Ninguno","",IF([1]!ihQueryData("",TAGS!$F$5,DATOS!$I$5,DATOS!$I$6,"Calculated","RawAverage",$A$6,0,"Forward","","","","",1440,1,0,"Value")="Bad","",[1]!ihQueryData("",TAGS!$F$5,DATOS!$I$5,DATOS!$I$6,"Calculated","RawAverage",$A$6,0,"Forward","","","","",1440,1,0,"Value")))</f>
        <v>0</v>
      </c>
      <c r="G13" s="26">
        <f t="array" ref="G13:G1452">IF(TAGS!$F$6="Ninguno","",IF([1]!ihQueryData("",TAGS!$F$6,DATOS!$I$5,DATOS!$I$6,"Calculated","RawAverage",$A$6,0,"Forward","","","","",1440,1,0,"Value")="Bad","",[1]!ihQueryData("",TAGS!$F$6,DATOS!$I$5,DATOS!$I$6,"Calculated","RawAverage",$A$6,0,"Forward","","","","",1440,1,0,"Value")))</f>
        <v>1780</v>
      </c>
      <c r="H13" s="26">
        <f t="array" ref="H13:H1452">IF(TAGS!$F$7="Ninguno","",IF([1]!ihQueryData("",TAGS!$F$7,DATOS!$I$5,DATOS!$I$6,"Calculated","RawAverage",$A$6,0,"Forward","","","","",1440,1,0,"Value")="Bad","",[1]!ihQueryData("",TAGS!$F$7,DATOS!$I$5,DATOS!$I$6,"Calculated","RawAverage",$A$6,0,"Forward","","","","",1440,1,0,"Value")))</f>
        <v>637.54111111111115</v>
      </c>
      <c r="I13" s="26">
        <f t="array" ref="I13:I1452">IF(TAGS!$F$8="Ninguno","",IF([1]!ihQueryData("",TAGS!$F$8,DATOS!$I$5,DATOS!$I$6,"Calculated","RawAverage",$A$6,0,"Forward","","","","",1440,1,0,"Value")="Bad","",[1]!ihQueryData("",TAGS!$F$8,DATOS!$I$5,DATOS!$I$6,"Calculated","RawAverage",$A$6,0,"Forward","","","","",1440,1,0,"Value")))</f>
        <v>8.8888888888888889E-3</v>
      </c>
    </row>
    <row r="14" spans="1:9" x14ac:dyDescent="0.2">
      <c r="A14" s="23">
        <v>45658.083333333336</v>
      </c>
      <c r="B14" s="25">
        <v>45658.083333333336</v>
      </c>
      <c r="C14" s="27">
        <v>73.975722206963439</v>
      </c>
      <c r="D14" s="27">
        <v>28.712499633166527</v>
      </c>
      <c r="E14" s="27">
        <v>847.25564851548938</v>
      </c>
      <c r="F14" s="27">
        <v>861.74694444444447</v>
      </c>
      <c r="G14" s="27">
        <v>1780</v>
      </c>
      <c r="H14" s="27">
        <v>641.58277777777778</v>
      </c>
      <c r="I14" s="27">
        <v>222.7463888888889</v>
      </c>
    </row>
    <row r="15" spans="1:9" x14ac:dyDescent="0.2">
      <c r="A15" s="23">
        <v>45658.125</v>
      </c>
      <c r="B15" s="25">
        <v>45658.125</v>
      </c>
      <c r="C15" s="27">
        <v>56.018416697184243</v>
      </c>
      <c r="D15" s="27">
        <v>23.934138580958049</v>
      </c>
      <c r="E15" s="27">
        <v>847.96210066053607</v>
      </c>
      <c r="F15" s="27">
        <v>718.51361111111112</v>
      </c>
      <c r="G15" s="27">
        <v>1780</v>
      </c>
      <c r="H15" s="27">
        <v>640.81111111111113</v>
      </c>
      <c r="I15" s="27">
        <v>185.73527777777778</v>
      </c>
    </row>
    <row r="16" spans="1:9" x14ac:dyDescent="0.2">
      <c r="A16" s="23">
        <v>45658.166666666664</v>
      </c>
      <c r="B16" s="25">
        <v>45658.166666666664</v>
      </c>
      <c r="C16" s="27">
        <v>85.194138874477815</v>
      </c>
      <c r="D16" s="27">
        <v>32.110360702210002</v>
      </c>
      <c r="E16" s="27">
        <v>848.24832699245871</v>
      </c>
      <c r="F16" s="27">
        <v>964.27166666666665</v>
      </c>
      <c r="G16" s="27">
        <v>1780</v>
      </c>
      <c r="H16" s="27">
        <v>639.94611111111112</v>
      </c>
      <c r="I16" s="27">
        <v>248.81055555555557</v>
      </c>
    </row>
    <row r="17" spans="1:9" x14ac:dyDescent="0.2">
      <c r="A17" s="23">
        <v>45658.208333333336</v>
      </c>
      <c r="B17" s="25">
        <v>45658.208333333336</v>
      </c>
      <c r="C17" s="27">
        <v>83.084583333333327</v>
      </c>
      <c r="D17" s="27">
        <v>31.384555156429609</v>
      </c>
      <c r="E17" s="27">
        <v>848.81828053792321</v>
      </c>
      <c r="F17" s="27">
        <v>942.03138888888884</v>
      </c>
      <c r="G17" s="27">
        <v>1780</v>
      </c>
      <c r="H17" s="27">
        <v>640.67555555555555</v>
      </c>
      <c r="I17" s="27">
        <v>243.16194444444446</v>
      </c>
    </row>
    <row r="18" spans="1:9" x14ac:dyDescent="0.2">
      <c r="A18" s="23">
        <v>45658.25</v>
      </c>
      <c r="B18" s="25">
        <v>45658.25</v>
      </c>
      <c r="C18" s="27">
        <v>89.611972122192384</v>
      </c>
      <c r="D18" s="27">
        <v>34.428666226400267</v>
      </c>
      <c r="E18" s="27">
        <v>849.41381791856554</v>
      </c>
      <c r="F18" s="27">
        <v>1033.5836111111112</v>
      </c>
      <c r="G18" s="27">
        <v>1780</v>
      </c>
      <c r="H18" s="27">
        <v>643.85027777777782</v>
      </c>
      <c r="I18" s="27">
        <v>266.92805555555555</v>
      </c>
    </row>
    <row r="19" spans="1:9" x14ac:dyDescent="0.2">
      <c r="A19" s="23">
        <v>45658.291666666664</v>
      </c>
      <c r="B19" s="25">
        <v>45658.291666666664</v>
      </c>
      <c r="C19" s="27">
        <v>92.804166723887121</v>
      </c>
      <c r="D19" s="27">
        <v>35.787805096209048</v>
      </c>
      <c r="E19" s="27">
        <v>850.04878991021053</v>
      </c>
      <c r="F19" s="27">
        <v>1074.1230555555555</v>
      </c>
      <c r="G19" s="27">
        <v>1780</v>
      </c>
      <c r="H19" s="27">
        <v>648.64194444444445</v>
      </c>
      <c r="I19" s="27">
        <v>277.68916666666667</v>
      </c>
    </row>
    <row r="20" spans="1:9" x14ac:dyDescent="0.2">
      <c r="A20" s="23">
        <v>45658.333333333336</v>
      </c>
      <c r="B20" s="25">
        <v>45658.333333333336</v>
      </c>
      <c r="C20" s="27">
        <v>0</v>
      </c>
      <c r="D20" s="27">
        <v>0</v>
      </c>
      <c r="E20" s="27">
        <v>850.38336181640625</v>
      </c>
      <c r="F20" s="27">
        <v>0</v>
      </c>
      <c r="G20" s="27">
        <v>1780</v>
      </c>
      <c r="H20" s="27">
        <v>645.63111111111107</v>
      </c>
      <c r="I20" s="27">
        <v>4.4444444444444444E-3</v>
      </c>
    </row>
    <row r="21" spans="1:9" x14ac:dyDescent="0.2">
      <c r="A21" s="23">
        <v>45658.375</v>
      </c>
      <c r="B21" s="25">
        <v>45658.375</v>
      </c>
      <c r="C21" s="27">
        <v>0</v>
      </c>
      <c r="D21" s="27">
        <v>0</v>
      </c>
      <c r="E21" s="27">
        <v>850.38336181640625</v>
      </c>
      <c r="F21" s="27">
        <v>0</v>
      </c>
      <c r="G21" s="27">
        <v>1780</v>
      </c>
      <c r="H21" s="27">
        <v>640.76527777777778</v>
      </c>
      <c r="I21" s="27">
        <v>0</v>
      </c>
    </row>
    <row r="22" spans="1:9" x14ac:dyDescent="0.2">
      <c r="A22" s="23">
        <v>45658.416666666664</v>
      </c>
      <c r="B22" s="25">
        <v>45658.416666666664</v>
      </c>
      <c r="C22" s="27">
        <v>54.017888921101886</v>
      </c>
      <c r="D22" s="27">
        <v>20.564055291811624</v>
      </c>
      <c r="E22" s="27">
        <v>850.44841340806749</v>
      </c>
      <c r="F22" s="27">
        <v>617.20416666666665</v>
      </c>
      <c r="G22" s="27">
        <v>1780</v>
      </c>
      <c r="H22" s="27">
        <v>638.75972222222219</v>
      </c>
      <c r="I22" s="27">
        <v>159.3436111111111</v>
      </c>
    </row>
    <row r="23" spans="1:9" x14ac:dyDescent="0.2">
      <c r="A23" s="23">
        <v>45658.458333333336</v>
      </c>
      <c r="B23" s="25">
        <v>45658.458333333336</v>
      </c>
      <c r="C23" s="27">
        <v>71.192527764108448</v>
      </c>
      <c r="D23" s="27">
        <v>27.569555201894708</v>
      </c>
      <c r="E23" s="27">
        <v>851.02931613498265</v>
      </c>
      <c r="F23" s="27">
        <v>828.40611111111116</v>
      </c>
      <c r="G23" s="27">
        <v>1780</v>
      </c>
      <c r="H23" s="27">
        <v>644.52388888888891</v>
      </c>
      <c r="I23" s="27">
        <v>213.89472222222221</v>
      </c>
    </row>
    <row r="24" spans="1:9" x14ac:dyDescent="0.2">
      <c r="A24" s="23">
        <v>45658.5</v>
      </c>
      <c r="B24" s="25">
        <v>45658.5</v>
      </c>
      <c r="C24" s="27">
        <v>0</v>
      </c>
      <c r="D24" s="27">
        <v>0</v>
      </c>
      <c r="E24" s="27">
        <v>851.23333740234375</v>
      </c>
      <c r="F24" s="27">
        <v>0</v>
      </c>
      <c r="G24" s="27">
        <v>1780</v>
      </c>
      <c r="H24" s="27">
        <v>640.73916666666662</v>
      </c>
      <c r="I24" s="27">
        <v>8.8888888888888889E-3</v>
      </c>
    </row>
    <row r="25" spans="1:9" x14ac:dyDescent="0.2">
      <c r="A25" s="23">
        <v>45658.541666666664</v>
      </c>
      <c r="B25" s="25">
        <v>45658.541666666664</v>
      </c>
      <c r="C25" s="27">
        <v>0</v>
      </c>
      <c r="D25" s="27">
        <v>0</v>
      </c>
      <c r="E25" s="27">
        <v>851.23333740234375</v>
      </c>
      <c r="F25" s="27">
        <v>0</v>
      </c>
      <c r="G25" s="27">
        <v>1780</v>
      </c>
      <c r="H25" s="27">
        <v>638.60527777777781</v>
      </c>
      <c r="I25" s="27">
        <v>4.4444444444444444E-3</v>
      </c>
    </row>
    <row r="26" spans="1:9" x14ac:dyDescent="0.2">
      <c r="A26" s="23">
        <v>45658.583333333336</v>
      </c>
      <c r="B26" s="25">
        <v>45658.583333333336</v>
      </c>
      <c r="C26" s="27">
        <v>15.003611104753283</v>
      </c>
      <c r="D26" s="27">
        <v>6.2292776998215249</v>
      </c>
      <c r="E26" s="27">
        <v>851.32101969401037</v>
      </c>
      <c r="F26" s="27">
        <v>186.88888888888889</v>
      </c>
      <c r="G26" s="27">
        <v>1780</v>
      </c>
      <c r="H26" s="27">
        <v>638.65111111111116</v>
      </c>
      <c r="I26" s="27">
        <v>48.363055555555555</v>
      </c>
    </row>
    <row r="27" spans="1:9" x14ac:dyDescent="0.2">
      <c r="A27" s="23">
        <v>45658.625</v>
      </c>
      <c r="B27" s="25">
        <v>45658.625</v>
      </c>
      <c r="C27" s="27">
        <v>25.094333326551649</v>
      </c>
      <c r="D27" s="27">
        <v>10.136610985292743</v>
      </c>
      <c r="E27" s="27">
        <v>851.37490317450624</v>
      </c>
      <c r="F27" s="27">
        <v>304.23027777777776</v>
      </c>
      <c r="G27" s="27">
        <v>1780</v>
      </c>
      <c r="H27" s="27">
        <v>638.85472222222222</v>
      </c>
      <c r="I27" s="27">
        <v>78.605833333333337</v>
      </c>
    </row>
    <row r="28" spans="1:9" x14ac:dyDescent="0.2">
      <c r="A28" s="23">
        <v>45658.666666666664</v>
      </c>
      <c r="B28" s="25">
        <v>45658.666666666664</v>
      </c>
      <c r="C28" s="27">
        <v>144.58213894314235</v>
      </c>
      <c r="D28" s="27">
        <v>59.299999237060547</v>
      </c>
      <c r="E28" s="27">
        <v>852.05393490261497</v>
      </c>
      <c r="F28" s="27">
        <v>1780</v>
      </c>
      <c r="G28" s="27">
        <v>1780</v>
      </c>
      <c r="H28" s="27">
        <v>643.14138888888886</v>
      </c>
      <c r="I28" s="27">
        <v>460.21694444444444</v>
      </c>
    </row>
    <row r="29" spans="1:9" x14ac:dyDescent="0.2">
      <c r="A29" s="23">
        <v>45658.708333333336</v>
      </c>
      <c r="B29" s="25">
        <v>45658.708333333336</v>
      </c>
      <c r="C29" s="27">
        <v>118.74666665818957</v>
      </c>
      <c r="D29" s="27">
        <v>48.781693817244637</v>
      </c>
      <c r="E29" s="27">
        <v>852.9579087490506</v>
      </c>
      <c r="F29" s="27">
        <v>1464.1141666666667</v>
      </c>
      <c r="G29" s="27">
        <v>1780</v>
      </c>
      <c r="H29" s="27">
        <v>642.73861111111114</v>
      </c>
      <c r="I29" s="27">
        <v>378.51777777777778</v>
      </c>
    </row>
    <row r="30" spans="1:9" x14ac:dyDescent="0.2">
      <c r="A30" s="23">
        <v>45658.75</v>
      </c>
      <c r="B30" s="25">
        <v>45658.75</v>
      </c>
      <c r="C30" s="27">
        <v>102.6262777794732</v>
      </c>
      <c r="D30" s="27">
        <v>44.639721647898355</v>
      </c>
      <c r="E30" s="27">
        <v>853.8885228474935</v>
      </c>
      <c r="F30" s="27">
        <v>1340.2958333333333</v>
      </c>
      <c r="G30" s="27">
        <v>1780</v>
      </c>
      <c r="H30" s="27">
        <v>644.90472222222218</v>
      </c>
      <c r="I30" s="27">
        <v>346.62694444444446</v>
      </c>
    </row>
    <row r="31" spans="1:9" x14ac:dyDescent="0.2">
      <c r="A31" s="23">
        <v>45658.791666666664</v>
      </c>
      <c r="B31" s="25">
        <v>45658.791666666664</v>
      </c>
      <c r="C31" s="27">
        <v>0</v>
      </c>
      <c r="D31" s="27">
        <v>0</v>
      </c>
      <c r="E31" s="27">
        <v>854.183349609375</v>
      </c>
      <c r="F31" s="27">
        <v>0</v>
      </c>
      <c r="G31" s="27">
        <v>1780</v>
      </c>
      <c r="H31" s="27">
        <v>636.02777777777783</v>
      </c>
      <c r="I31" s="27">
        <v>0</v>
      </c>
    </row>
    <row r="32" spans="1:9" x14ac:dyDescent="0.2">
      <c r="A32" s="23">
        <v>45658.833333333336</v>
      </c>
      <c r="B32" s="25">
        <v>45658.833333333336</v>
      </c>
      <c r="C32" s="27">
        <v>0</v>
      </c>
      <c r="D32" s="27">
        <v>0</v>
      </c>
      <c r="E32" s="27">
        <v>854.183349609375</v>
      </c>
      <c r="F32" s="27">
        <v>0</v>
      </c>
      <c r="G32" s="27">
        <v>1780</v>
      </c>
      <c r="H32" s="27">
        <v>634.83888888888885</v>
      </c>
      <c r="I32" s="27">
        <v>1.3333333333333334E-2</v>
      </c>
    </row>
    <row r="33" spans="1:9" x14ac:dyDescent="0.2">
      <c r="A33" s="23">
        <v>45658.875</v>
      </c>
      <c r="B33" s="25">
        <v>45658.875</v>
      </c>
      <c r="C33" s="27">
        <v>65.116055530971948</v>
      </c>
      <c r="D33" s="27">
        <v>25.00611078977585</v>
      </c>
      <c r="E33" s="27">
        <v>854.27482316758892</v>
      </c>
      <c r="F33" s="27">
        <v>750.55111111111114</v>
      </c>
      <c r="G33" s="27">
        <v>1780</v>
      </c>
      <c r="H33" s="27">
        <v>637.02305555555552</v>
      </c>
      <c r="I33" s="27">
        <v>193.72222222222223</v>
      </c>
    </row>
    <row r="34" spans="1:9" x14ac:dyDescent="0.2">
      <c r="A34" s="23">
        <v>45658.916666666664</v>
      </c>
      <c r="B34" s="25">
        <v>45658.916666666664</v>
      </c>
      <c r="C34" s="27">
        <v>151.78966667599147</v>
      </c>
      <c r="D34" s="27">
        <v>59.283527015050254</v>
      </c>
      <c r="E34" s="27">
        <v>855.12171257866748</v>
      </c>
      <c r="F34" s="27">
        <v>1780</v>
      </c>
      <c r="G34" s="27">
        <v>1780</v>
      </c>
      <c r="H34" s="27">
        <v>639.51944444444439</v>
      </c>
      <c r="I34" s="27">
        <v>459.54527777777776</v>
      </c>
    </row>
    <row r="35" spans="1:9" x14ac:dyDescent="0.2">
      <c r="A35" s="23">
        <v>45658.958333333336</v>
      </c>
      <c r="B35" s="25">
        <v>45658.958333333336</v>
      </c>
      <c r="C35" s="27">
        <v>36.198805609809028</v>
      </c>
      <c r="D35" s="27">
        <v>14.824999809265137</v>
      </c>
      <c r="E35" s="27">
        <v>855.85071580674912</v>
      </c>
      <c r="F35" s="27">
        <v>445.01333333333332</v>
      </c>
      <c r="G35" s="27">
        <v>1780</v>
      </c>
      <c r="H35" s="27">
        <v>639.24416666666662</v>
      </c>
      <c r="I35" s="27">
        <v>115.05249999999999</v>
      </c>
    </row>
    <row r="36" spans="1:9" x14ac:dyDescent="0.2">
      <c r="A36" s="23">
        <v>45659</v>
      </c>
      <c r="B36" s="25">
        <v>45659</v>
      </c>
      <c r="C36" s="27">
        <v>50.154916729397243</v>
      </c>
      <c r="D36" s="27">
        <v>20.143055297003851</v>
      </c>
      <c r="E36" s="27">
        <v>855.94684897528759</v>
      </c>
      <c r="F36" s="27">
        <v>604.5575</v>
      </c>
      <c r="G36" s="27">
        <v>1780</v>
      </c>
      <c r="H36" s="27">
        <v>641.52638888888885</v>
      </c>
      <c r="I36" s="27">
        <v>156.24805555555557</v>
      </c>
    </row>
    <row r="37" spans="1:9" x14ac:dyDescent="0.2">
      <c r="A37" s="23">
        <v>45659.041666666664</v>
      </c>
      <c r="B37" s="25">
        <v>45659.041666666664</v>
      </c>
      <c r="C37" s="27">
        <v>46.212194468180336</v>
      </c>
      <c r="D37" s="27">
        <v>18.646249761780101</v>
      </c>
      <c r="E37" s="27">
        <v>856.45779861450194</v>
      </c>
      <c r="F37" s="27">
        <v>560.20611111111111</v>
      </c>
      <c r="G37" s="27">
        <v>1780</v>
      </c>
      <c r="H37" s="27">
        <v>645.75055555555559</v>
      </c>
      <c r="I37" s="27">
        <v>144.63277777777779</v>
      </c>
    </row>
    <row r="38" spans="1:9" x14ac:dyDescent="0.2">
      <c r="A38" s="23">
        <v>45659.083333333336</v>
      </c>
      <c r="B38" s="25">
        <v>45659.083333333336</v>
      </c>
      <c r="C38" s="27">
        <v>29.750638838873968</v>
      </c>
      <c r="D38" s="27">
        <v>12.172972065607707</v>
      </c>
      <c r="E38" s="27">
        <v>856.74552032470706</v>
      </c>
      <c r="F38" s="27">
        <v>365.40666666666669</v>
      </c>
      <c r="G38" s="27">
        <v>1780</v>
      </c>
      <c r="H38" s="27">
        <v>646.71249999999998</v>
      </c>
      <c r="I38" s="27">
        <v>94.490833333333327</v>
      </c>
    </row>
    <row r="39" spans="1:9" x14ac:dyDescent="0.2">
      <c r="A39" s="23">
        <v>45659.125</v>
      </c>
      <c r="B39" s="25">
        <v>45659.125</v>
      </c>
      <c r="C39" s="27">
        <v>45.076750015682642</v>
      </c>
      <c r="D39" s="27">
        <v>18.979888647993405</v>
      </c>
      <c r="E39" s="27">
        <v>856.96476618448889</v>
      </c>
      <c r="F39" s="27">
        <v>569.67111111111114</v>
      </c>
      <c r="G39" s="27">
        <v>1780</v>
      </c>
      <c r="H39" s="27">
        <v>651.14750000000004</v>
      </c>
      <c r="I39" s="27">
        <v>147.24250000000001</v>
      </c>
    </row>
    <row r="40" spans="1:9" x14ac:dyDescent="0.2">
      <c r="A40" s="23">
        <v>45659.166666666664</v>
      </c>
      <c r="B40" s="25">
        <v>45659.166666666664</v>
      </c>
      <c r="C40" s="27">
        <v>31.73527781592475</v>
      </c>
      <c r="D40" s="27">
        <v>12.716555391947429</v>
      </c>
      <c r="E40" s="27">
        <v>857.30858205159507</v>
      </c>
      <c r="F40" s="27">
        <v>382.21166666666664</v>
      </c>
      <c r="G40" s="27">
        <v>1780</v>
      </c>
      <c r="H40" s="27">
        <v>648.63055555555559</v>
      </c>
      <c r="I40" s="27">
        <v>98.708333333333329</v>
      </c>
    </row>
    <row r="41" spans="1:9" x14ac:dyDescent="0.2">
      <c r="A41" s="23">
        <v>45659.208333333336</v>
      </c>
      <c r="B41" s="25">
        <v>45659.208333333336</v>
      </c>
      <c r="C41" s="27">
        <v>83.973555450439449</v>
      </c>
      <c r="D41" s="27">
        <v>33.468444014555878</v>
      </c>
      <c r="E41" s="27">
        <v>857.60391616821289</v>
      </c>
      <c r="F41" s="27">
        <v>1005.0747222222222</v>
      </c>
      <c r="G41" s="27">
        <v>1780</v>
      </c>
      <c r="H41" s="27">
        <v>650.82916666666665</v>
      </c>
      <c r="I41" s="27">
        <v>259.68861111111113</v>
      </c>
    </row>
    <row r="42" spans="1:9" x14ac:dyDescent="0.2">
      <c r="A42" s="23">
        <v>45659.25</v>
      </c>
      <c r="B42" s="25">
        <v>45659.25</v>
      </c>
      <c r="C42" s="27">
        <v>20.844222221374512</v>
      </c>
      <c r="D42" s="27">
        <v>7.9411665670739282</v>
      </c>
      <c r="E42" s="27">
        <v>857.91149383544916</v>
      </c>
      <c r="F42" s="27">
        <v>238.31944444444446</v>
      </c>
      <c r="G42" s="27">
        <v>1780</v>
      </c>
      <c r="H42" s="27">
        <v>647.70222222222219</v>
      </c>
      <c r="I42" s="27">
        <v>61.55</v>
      </c>
    </row>
    <row r="43" spans="1:9" x14ac:dyDescent="0.2">
      <c r="A43" s="23">
        <v>45659.291666666664</v>
      </c>
      <c r="B43" s="25">
        <v>45659.291666666664</v>
      </c>
      <c r="C43" s="27">
        <v>26.642972195943198</v>
      </c>
      <c r="D43" s="27">
        <v>11.106110969086489</v>
      </c>
      <c r="E43" s="27">
        <v>858.1618231709798</v>
      </c>
      <c r="F43" s="27">
        <v>333.4111111111111</v>
      </c>
      <c r="G43" s="27">
        <v>1780</v>
      </c>
      <c r="H43" s="27">
        <v>646.15916666666669</v>
      </c>
      <c r="I43" s="27">
        <v>86.224166666666662</v>
      </c>
    </row>
    <row r="44" spans="1:9" x14ac:dyDescent="0.2">
      <c r="A44" s="23">
        <v>45659.333333333336</v>
      </c>
      <c r="B44" s="25">
        <v>45659.333333333336</v>
      </c>
      <c r="C44" s="27">
        <v>0</v>
      </c>
      <c r="D44" s="27">
        <v>0</v>
      </c>
      <c r="E44" s="27">
        <v>858.26666259765625</v>
      </c>
      <c r="F44" s="27">
        <v>0</v>
      </c>
      <c r="G44" s="27">
        <v>1780</v>
      </c>
      <c r="H44" s="27">
        <v>635.35277777777776</v>
      </c>
      <c r="I44" s="27">
        <v>4.4444444444444444E-3</v>
      </c>
    </row>
    <row r="45" spans="1:9" x14ac:dyDescent="0.2">
      <c r="A45" s="23">
        <v>45659.375</v>
      </c>
      <c r="B45" s="25">
        <v>45659.375</v>
      </c>
      <c r="C45" s="27">
        <v>0</v>
      </c>
      <c r="D45" s="27">
        <v>0</v>
      </c>
      <c r="E45" s="27">
        <v>858.26666259765625</v>
      </c>
      <c r="F45" s="27">
        <v>0</v>
      </c>
      <c r="G45" s="27">
        <v>1766.1555555555556</v>
      </c>
      <c r="H45" s="27">
        <v>632.80194444444442</v>
      </c>
      <c r="I45" s="27">
        <v>4.4444444444444444E-3</v>
      </c>
    </row>
    <row r="46" spans="1:9" x14ac:dyDescent="0.2">
      <c r="A46" s="23">
        <v>45659.416666666664</v>
      </c>
      <c r="B46" s="25">
        <v>45659.416666666664</v>
      </c>
      <c r="C46" s="27">
        <v>0</v>
      </c>
      <c r="D46" s="27">
        <v>0</v>
      </c>
      <c r="E46" s="27">
        <v>858.26666259765625</v>
      </c>
      <c r="F46" s="27">
        <v>0</v>
      </c>
      <c r="G46" s="27">
        <v>1780</v>
      </c>
      <c r="H46" s="27">
        <v>626.12805555555553</v>
      </c>
      <c r="I46" s="27">
        <v>0</v>
      </c>
    </row>
    <row r="47" spans="1:9" x14ac:dyDescent="0.2">
      <c r="A47" s="23">
        <v>45659.458333333336</v>
      </c>
      <c r="B47" s="25">
        <v>45659.458333333336</v>
      </c>
      <c r="C47" s="27">
        <v>0</v>
      </c>
      <c r="D47" s="27">
        <v>0</v>
      </c>
      <c r="E47" s="27">
        <v>858.26666259765625</v>
      </c>
      <c r="F47" s="27">
        <v>0</v>
      </c>
      <c r="G47" s="27">
        <v>1780</v>
      </c>
      <c r="H47" s="27">
        <v>80.069999999999993</v>
      </c>
      <c r="I47" s="27">
        <v>0</v>
      </c>
    </row>
    <row r="48" spans="1:9" x14ac:dyDescent="0.2">
      <c r="A48" s="23">
        <v>45659.5</v>
      </c>
      <c r="B48" s="25">
        <v>45659.5</v>
      </c>
      <c r="C48" s="27">
        <v>0</v>
      </c>
      <c r="D48" s="27">
        <v>0</v>
      </c>
      <c r="E48" s="27">
        <v>858.26666259765625</v>
      </c>
      <c r="F48" s="27">
        <v>0</v>
      </c>
      <c r="G48" s="27">
        <v>1772.5833333333333</v>
      </c>
      <c r="H48" s="27">
        <v>80</v>
      </c>
      <c r="I48" s="27">
        <v>0</v>
      </c>
    </row>
    <row r="49" spans="1:9" x14ac:dyDescent="0.2">
      <c r="A49" s="23">
        <v>45659.541666666664</v>
      </c>
      <c r="B49" s="25">
        <v>45659.541666666664</v>
      </c>
      <c r="C49" s="27">
        <v>0</v>
      </c>
      <c r="D49" s="27">
        <v>0</v>
      </c>
      <c r="E49" s="27">
        <v>858.26666259765625</v>
      </c>
      <c r="F49" s="27">
        <v>0</v>
      </c>
      <c r="G49" s="27">
        <v>1780</v>
      </c>
      <c r="H49" s="27">
        <v>80</v>
      </c>
      <c r="I49" s="27">
        <v>0</v>
      </c>
    </row>
    <row r="50" spans="1:9" x14ac:dyDescent="0.2">
      <c r="A50" s="23">
        <v>45659.583333333336</v>
      </c>
      <c r="B50" s="25">
        <v>45659.583333333336</v>
      </c>
      <c r="C50" s="27">
        <v>0</v>
      </c>
      <c r="D50" s="27">
        <v>0</v>
      </c>
      <c r="E50" s="27">
        <v>858.26666259765625</v>
      </c>
      <c r="F50" s="27">
        <v>0</v>
      </c>
      <c r="G50" s="27">
        <v>1780</v>
      </c>
      <c r="H50" s="27">
        <v>80</v>
      </c>
      <c r="I50" s="27">
        <v>0</v>
      </c>
    </row>
    <row r="51" spans="1:9" x14ac:dyDescent="0.2">
      <c r="A51" s="23">
        <v>45659.625</v>
      </c>
      <c r="B51" s="25">
        <v>45659.625</v>
      </c>
      <c r="C51" s="27">
        <v>0</v>
      </c>
      <c r="D51" s="27">
        <v>0</v>
      </c>
      <c r="E51" s="27">
        <v>858.26666259765625</v>
      </c>
      <c r="F51" s="27">
        <v>0</v>
      </c>
      <c r="G51" s="27">
        <v>1780</v>
      </c>
      <c r="H51" s="27">
        <v>139.66222222222223</v>
      </c>
      <c r="I51" s="27">
        <v>0</v>
      </c>
    </row>
    <row r="52" spans="1:9" x14ac:dyDescent="0.2">
      <c r="A52" s="23">
        <v>45659.666666666664</v>
      </c>
      <c r="B52" s="25">
        <v>45659.666666666664</v>
      </c>
      <c r="C52" s="27">
        <v>0</v>
      </c>
      <c r="D52" s="27">
        <v>0</v>
      </c>
      <c r="E52" s="27">
        <v>858.26666259765625</v>
      </c>
      <c r="F52" s="27">
        <v>0</v>
      </c>
      <c r="G52" s="27">
        <v>1780</v>
      </c>
      <c r="H52" s="27">
        <v>635.8705555555556</v>
      </c>
      <c r="I52" s="27">
        <v>4.4444444444444444E-3</v>
      </c>
    </row>
    <row r="53" spans="1:9" x14ac:dyDescent="0.2">
      <c r="A53" s="23">
        <v>45659.708333333336</v>
      </c>
      <c r="B53" s="25">
        <v>45659.708333333336</v>
      </c>
      <c r="C53" s="27">
        <v>0</v>
      </c>
      <c r="D53" s="27">
        <v>0</v>
      </c>
      <c r="E53" s="27">
        <v>858.26666259765625</v>
      </c>
      <c r="F53" s="27">
        <v>0</v>
      </c>
      <c r="G53" s="27">
        <v>1780</v>
      </c>
      <c r="H53" s="27">
        <v>636.36500000000001</v>
      </c>
      <c r="I53" s="27">
        <v>4.4444444444444444E-3</v>
      </c>
    </row>
    <row r="54" spans="1:9" x14ac:dyDescent="0.2">
      <c r="A54" s="23">
        <v>45659.75</v>
      </c>
      <c r="B54" s="25">
        <v>45659.75</v>
      </c>
      <c r="C54" s="27">
        <v>0</v>
      </c>
      <c r="D54" s="27">
        <v>0</v>
      </c>
      <c r="E54" s="27">
        <v>858.26666259765625</v>
      </c>
      <c r="F54" s="27">
        <v>0</v>
      </c>
      <c r="G54" s="27">
        <v>1780</v>
      </c>
      <c r="H54" s="27">
        <v>638.27666666666664</v>
      </c>
      <c r="I54" s="27">
        <v>0</v>
      </c>
    </row>
    <row r="55" spans="1:9" x14ac:dyDescent="0.2">
      <c r="A55" s="23">
        <v>45659.791666666664</v>
      </c>
      <c r="B55" s="25">
        <v>45659.791666666664</v>
      </c>
      <c r="C55" s="27">
        <v>0</v>
      </c>
      <c r="D55" s="27">
        <v>0</v>
      </c>
      <c r="E55" s="27">
        <v>858.26666259765625</v>
      </c>
      <c r="F55" s="27">
        <v>0</v>
      </c>
      <c r="G55" s="27">
        <v>1780</v>
      </c>
      <c r="H55" s="27">
        <v>633.32500000000005</v>
      </c>
      <c r="I55" s="27">
        <v>0</v>
      </c>
    </row>
    <row r="56" spans="1:9" x14ac:dyDescent="0.2">
      <c r="A56" s="23">
        <v>45659.833333333336</v>
      </c>
      <c r="B56" s="25">
        <v>45659.833333333336</v>
      </c>
      <c r="C56" s="27">
        <v>0</v>
      </c>
      <c r="D56" s="27">
        <v>0</v>
      </c>
      <c r="E56" s="27">
        <v>858.26666259765625</v>
      </c>
      <c r="F56" s="27">
        <v>0</v>
      </c>
      <c r="G56" s="27">
        <v>1780</v>
      </c>
      <c r="H56" s="27">
        <v>632.32249999999999</v>
      </c>
      <c r="I56" s="27">
        <v>0</v>
      </c>
    </row>
    <row r="57" spans="1:9" x14ac:dyDescent="0.2">
      <c r="A57" s="23">
        <v>45659.875</v>
      </c>
      <c r="B57" s="25">
        <v>45659.875</v>
      </c>
      <c r="C57" s="27">
        <v>0</v>
      </c>
      <c r="D57" s="27">
        <v>0</v>
      </c>
      <c r="E57" s="27">
        <v>858.26666259765625</v>
      </c>
      <c r="F57" s="27">
        <v>0</v>
      </c>
      <c r="G57" s="27">
        <v>1780</v>
      </c>
      <c r="H57" s="27">
        <v>632.70777777777778</v>
      </c>
      <c r="I57" s="27">
        <v>0</v>
      </c>
    </row>
    <row r="58" spans="1:9" x14ac:dyDescent="0.2">
      <c r="A58" s="23">
        <v>45659.916666666664</v>
      </c>
      <c r="B58" s="25">
        <v>45659.916666666664</v>
      </c>
      <c r="C58" s="27">
        <v>0</v>
      </c>
      <c r="D58" s="27">
        <v>0</v>
      </c>
      <c r="E58" s="27">
        <v>858.26666259765625</v>
      </c>
      <c r="F58" s="27">
        <v>0</v>
      </c>
      <c r="G58" s="27">
        <v>1780</v>
      </c>
      <c r="H58" s="27">
        <v>633.37583333333339</v>
      </c>
      <c r="I58" s="27">
        <v>0</v>
      </c>
    </row>
    <row r="59" spans="1:9" x14ac:dyDescent="0.2">
      <c r="A59" s="23">
        <v>45659.958333333336</v>
      </c>
      <c r="B59" s="25">
        <v>45659.958333333336</v>
      </c>
      <c r="C59" s="27">
        <v>0</v>
      </c>
      <c r="D59" s="27">
        <v>0</v>
      </c>
      <c r="E59" s="27">
        <v>858.26666259765625</v>
      </c>
      <c r="F59" s="27">
        <v>0</v>
      </c>
      <c r="G59" s="27">
        <v>1780</v>
      </c>
      <c r="H59" s="27">
        <v>635.03277777777782</v>
      </c>
      <c r="I59" s="27">
        <v>8.8888888888888889E-3</v>
      </c>
    </row>
    <row r="60" spans="1:9" x14ac:dyDescent="0.2">
      <c r="A60" s="23">
        <v>45660</v>
      </c>
      <c r="B60" s="25">
        <v>45660</v>
      </c>
      <c r="C60" s="27">
        <v>0</v>
      </c>
      <c r="D60" s="27">
        <v>0</v>
      </c>
      <c r="E60" s="27">
        <v>858.26666259765625</v>
      </c>
      <c r="F60" s="27">
        <v>0</v>
      </c>
      <c r="G60" s="27">
        <v>1780</v>
      </c>
      <c r="H60" s="27">
        <v>636.15111111111116</v>
      </c>
      <c r="I60" s="27">
        <v>4.4444444444444444E-3</v>
      </c>
    </row>
    <row r="61" spans="1:9" x14ac:dyDescent="0.2">
      <c r="A61" s="23">
        <v>45660.041666666664</v>
      </c>
      <c r="B61" s="25">
        <v>45660.041666666664</v>
      </c>
      <c r="C61" s="27">
        <v>0</v>
      </c>
      <c r="D61" s="27">
        <v>0</v>
      </c>
      <c r="E61" s="27">
        <v>858.26666259765625</v>
      </c>
      <c r="F61" s="27">
        <v>0</v>
      </c>
      <c r="G61" s="27">
        <v>1780</v>
      </c>
      <c r="H61" s="27">
        <v>637.14861111111111</v>
      </c>
      <c r="I61" s="27">
        <v>4.4444444444444444E-3</v>
      </c>
    </row>
    <row r="62" spans="1:9" x14ac:dyDescent="0.2">
      <c r="A62" s="23">
        <v>45660.083333333336</v>
      </c>
      <c r="B62" s="25">
        <v>45660.083333333336</v>
      </c>
      <c r="C62" s="27">
        <v>0</v>
      </c>
      <c r="D62" s="27">
        <v>0</v>
      </c>
      <c r="E62" s="27">
        <v>858.26666259765625</v>
      </c>
      <c r="F62" s="27">
        <v>0</v>
      </c>
      <c r="G62" s="27">
        <v>1780</v>
      </c>
      <c r="H62" s="27">
        <v>639.86222222222227</v>
      </c>
      <c r="I62" s="27">
        <v>8.8888888888888889E-3</v>
      </c>
    </row>
    <row r="63" spans="1:9" x14ac:dyDescent="0.2">
      <c r="A63" s="23">
        <v>45660.125</v>
      </c>
      <c r="B63" s="25">
        <v>45660.125</v>
      </c>
      <c r="C63" s="27">
        <v>0</v>
      </c>
      <c r="D63" s="27">
        <v>0</v>
      </c>
      <c r="E63" s="27">
        <v>858.26666259765625</v>
      </c>
      <c r="F63" s="27">
        <v>0</v>
      </c>
      <c r="G63" s="27">
        <v>1780</v>
      </c>
      <c r="H63" s="27">
        <v>636.27722222222224</v>
      </c>
      <c r="I63" s="27">
        <v>4.4444444444444444E-3</v>
      </c>
    </row>
    <row r="64" spans="1:9" x14ac:dyDescent="0.2">
      <c r="A64" s="23">
        <v>45660.166666666664</v>
      </c>
      <c r="B64" s="25">
        <v>45660.166666666664</v>
      </c>
      <c r="C64" s="27">
        <v>0</v>
      </c>
      <c r="D64" s="27">
        <v>0</v>
      </c>
      <c r="E64" s="27">
        <v>858.26666259765625</v>
      </c>
      <c r="F64" s="27">
        <v>0</v>
      </c>
      <c r="G64" s="27">
        <v>1780</v>
      </c>
      <c r="H64" s="27">
        <v>637.21222222222218</v>
      </c>
      <c r="I64" s="27">
        <v>4.4444444444444444E-3</v>
      </c>
    </row>
    <row r="65" spans="1:9" x14ac:dyDescent="0.2">
      <c r="A65" s="23">
        <v>45660.208333333336</v>
      </c>
      <c r="B65" s="25">
        <v>45660.208333333336</v>
      </c>
      <c r="C65" s="27">
        <v>0</v>
      </c>
      <c r="D65" s="27">
        <v>0</v>
      </c>
      <c r="E65" s="27">
        <v>858.26666259765625</v>
      </c>
      <c r="F65" s="27">
        <v>0</v>
      </c>
      <c r="G65" s="27">
        <v>1780</v>
      </c>
      <c r="H65" s="27">
        <v>635.97638888888889</v>
      </c>
      <c r="I65" s="27">
        <v>4.4444444444444444E-3</v>
      </c>
    </row>
    <row r="66" spans="1:9" x14ac:dyDescent="0.2">
      <c r="A66" s="23">
        <v>45660.25</v>
      </c>
      <c r="B66" s="25">
        <v>45660.25</v>
      </c>
      <c r="C66" s="27">
        <v>0</v>
      </c>
      <c r="D66" s="27">
        <v>0</v>
      </c>
      <c r="E66" s="27">
        <v>858.26666259765625</v>
      </c>
      <c r="F66" s="27">
        <v>0</v>
      </c>
      <c r="G66" s="27">
        <v>1780</v>
      </c>
      <c r="H66" s="27">
        <v>636.6494444444445</v>
      </c>
      <c r="I66" s="27">
        <v>8.8888888888888889E-3</v>
      </c>
    </row>
    <row r="67" spans="1:9" x14ac:dyDescent="0.2">
      <c r="A67" s="23">
        <v>45660.291666666664</v>
      </c>
      <c r="B67" s="25">
        <v>45660.291666666664</v>
      </c>
      <c r="C67" s="27">
        <v>0</v>
      </c>
      <c r="D67" s="27">
        <v>0</v>
      </c>
      <c r="E67" s="27">
        <v>858.26666259765625</v>
      </c>
      <c r="F67" s="27">
        <v>0</v>
      </c>
      <c r="G67" s="27">
        <v>1780</v>
      </c>
      <c r="H67" s="27">
        <v>635.54166666666663</v>
      </c>
      <c r="I67" s="27">
        <v>0</v>
      </c>
    </row>
    <row r="68" spans="1:9" x14ac:dyDescent="0.2">
      <c r="A68" s="23">
        <v>45660.333333333336</v>
      </c>
      <c r="B68" s="25">
        <v>45660.333333333336</v>
      </c>
      <c r="C68" s="27">
        <v>0</v>
      </c>
      <c r="D68" s="27">
        <v>0</v>
      </c>
      <c r="E68" s="27">
        <v>858.26666259765625</v>
      </c>
      <c r="F68" s="27">
        <v>0</v>
      </c>
      <c r="G68" s="27">
        <v>1780</v>
      </c>
      <c r="H68" s="27">
        <v>634.81861111111107</v>
      </c>
      <c r="I68" s="27">
        <v>4.4444444444444444E-3</v>
      </c>
    </row>
    <row r="69" spans="1:9" x14ac:dyDescent="0.2">
      <c r="A69" s="23">
        <v>45660.375</v>
      </c>
      <c r="B69" s="25">
        <v>45660.375</v>
      </c>
      <c r="C69" s="27">
        <v>0</v>
      </c>
      <c r="D69" s="27">
        <v>0</v>
      </c>
      <c r="E69" s="27">
        <v>858.26666259765625</v>
      </c>
      <c r="F69" s="27">
        <v>0</v>
      </c>
      <c r="G69" s="27">
        <v>1780</v>
      </c>
      <c r="H69" s="27">
        <v>635.80944444444447</v>
      </c>
      <c r="I69" s="27">
        <v>0</v>
      </c>
    </row>
    <row r="70" spans="1:9" x14ac:dyDescent="0.2">
      <c r="A70" s="23">
        <v>45660.416666666664</v>
      </c>
      <c r="B70" s="25">
        <v>45660.416666666664</v>
      </c>
      <c r="C70" s="27">
        <v>0</v>
      </c>
      <c r="D70" s="27">
        <v>0</v>
      </c>
      <c r="E70" s="27">
        <v>858.26666259765625</v>
      </c>
      <c r="F70" s="27">
        <v>0</v>
      </c>
      <c r="G70" s="27">
        <v>1780</v>
      </c>
      <c r="H70" s="27">
        <v>633.7547222222222</v>
      </c>
      <c r="I70" s="27">
        <v>8.8888888888888889E-3</v>
      </c>
    </row>
    <row r="71" spans="1:9" x14ac:dyDescent="0.2">
      <c r="A71" s="23">
        <v>45660.458333333336</v>
      </c>
      <c r="B71" s="25">
        <v>45660.458333333336</v>
      </c>
      <c r="C71" s="27">
        <v>0</v>
      </c>
      <c r="D71" s="27">
        <v>0</v>
      </c>
      <c r="E71" s="27">
        <v>858.26666259765625</v>
      </c>
      <c r="F71" s="27">
        <v>0</v>
      </c>
      <c r="G71" s="27">
        <v>1780</v>
      </c>
      <c r="H71" s="27">
        <v>631.31444444444446</v>
      </c>
      <c r="I71" s="27">
        <v>8.8888888888888889E-3</v>
      </c>
    </row>
    <row r="72" spans="1:9" x14ac:dyDescent="0.2">
      <c r="A72" s="23">
        <v>45660.5</v>
      </c>
      <c r="B72" s="25">
        <v>45660.5</v>
      </c>
      <c r="C72" s="27">
        <v>0</v>
      </c>
      <c r="D72" s="27">
        <v>0</v>
      </c>
      <c r="E72" s="27">
        <v>858.26666259765625</v>
      </c>
      <c r="F72" s="27">
        <v>0</v>
      </c>
      <c r="G72" s="27">
        <v>1780</v>
      </c>
      <c r="H72" s="27">
        <v>631.77083333333337</v>
      </c>
      <c r="I72" s="27">
        <v>4.4444444444444444E-3</v>
      </c>
    </row>
    <row r="73" spans="1:9" x14ac:dyDescent="0.2">
      <c r="A73" s="23">
        <v>45660.541666666664</v>
      </c>
      <c r="B73" s="25">
        <v>45660.541666666664</v>
      </c>
      <c r="C73" s="27">
        <v>0</v>
      </c>
      <c r="D73" s="27">
        <v>0</v>
      </c>
      <c r="E73" s="27">
        <v>858.26666259765625</v>
      </c>
      <c r="F73" s="27">
        <v>0</v>
      </c>
      <c r="G73" s="27">
        <v>1780</v>
      </c>
      <c r="H73" s="27">
        <v>631.38833333333332</v>
      </c>
      <c r="I73" s="27">
        <v>4.4444444444444444E-3</v>
      </c>
    </row>
    <row r="74" spans="1:9" x14ac:dyDescent="0.2">
      <c r="A74" s="23">
        <v>45660.583333333336</v>
      </c>
      <c r="B74" s="25">
        <v>45660.583333333336</v>
      </c>
      <c r="C74" s="27">
        <v>0</v>
      </c>
      <c r="D74" s="27">
        <v>0</v>
      </c>
      <c r="E74" s="27">
        <v>858.26666259765625</v>
      </c>
      <c r="F74" s="27">
        <v>0</v>
      </c>
      <c r="G74" s="27">
        <v>1780</v>
      </c>
      <c r="H74" s="27">
        <v>632.27333333333331</v>
      </c>
      <c r="I74" s="27">
        <v>8.8888888888888889E-3</v>
      </c>
    </row>
    <row r="75" spans="1:9" x14ac:dyDescent="0.2">
      <c r="A75" s="23">
        <v>45660.625</v>
      </c>
      <c r="B75" s="25">
        <v>45660.625</v>
      </c>
      <c r="C75" s="27">
        <v>0</v>
      </c>
      <c r="D75" s="27">
        <v>0</v>
      </c>
      <c r="E75" s="27">
        <v>858.26666259765625</v>
      </c>
      <c r="F75" s="27">
        <v>0</v>
      </c>
      <c r="G75" s="27">
        <v>1780</v>
      </c>
      <c r="H75" s="27">
        <v>634.29583333333335</v>
      </c>
      <c r="I75" s="27">
        <v>4.4444444444444444E-3</v>
      </c>
    </row>
    <row r="76" spans="1:9" x14ac:dyDescent="0.2">
      <c r="A76" s="23">
        <v>45660.666666666664</v>
      </c>
      <c r="B76" s="25">
        <v>45660.666666666664</v>
      </c>
      <c r="C76" s="27">
        <v>0</v>
      </c>
      <c r="D76" s="27">
        <v>0</v>
      </c>
      <c r="E76" s="27">
        <v>858.26666259765625</v>
      </c>
      <c r="F76" s="27">
        <v>0</v>
      </c>
      <c r="G76" s="27">
        <v>1780</v>
      </c>
      <c r="H76" s="27">
        <v>636.46222222222218</v>
      </c>
      <c r="I76" s="27">
        <v>4.4444444444444444E-3</v>
      </c>
    </row>
    <row r="77" spans="1:9" x14ac:dyDescent="0.2">
      <c r="A77" s="23">
        <v>45660.708333333336</v>
      </c>
      <c r="B77" s="25">
        <v>45660.708333333336</v>
      </c>
      <c r="C77" s="27">
        <v>0</v>
      </c>
      <c r="D77" s="27">
        <v>0</v>
      </c>
      <c r="E77" s="27">
        <v>858.26666259765625</v>
      </c>
      <c r="F77" s="27">
        <v>0</v>
      </c>
      <c r="G77" s="27">
        <v>1780</v>
      </c>
      <c r="H77" s="27">
        <v>635.53722222222223</v>
      </c>
      <c r="I77" s="27">
        <v>4.4444444444444444E-3</v>
      </c>
    </row>
    <row r="78" spans="1:9" x14ac:dyDescent="0.2">
      <c r="A78" s="23">
        <v>45660.75</v>
      </c>
      <c r="B78" s="25">
        <v>45660.75</v>
      </c>
      <c r="C78" s="27">
        <v>0</v>
      </c>
      <c r="D78" s="27">
        <v>0</v>
      </c>
      <c r="E78" s="27">
        <v>858.26666259765625</v>
      </c>
      <c r="F78" s="27">
        <v>0</v>
      </c>
      <c r="G78" s="27">
        <v>1780</v>
      </c>
      <c r="H78" s="27">
        <v>637.23555555555561</v>
      </c>
      <c r="I78" s="27">
        <v>0</v>
      </c>
    </row>
    <row r="79" spans="1:9" x14ac:dyDescent="0.2">
      <c r="A79" s="23">
        <v>45660.791666666664</v>
      </c>
      <c r="B79" s="25">
        <v>45660.791666666664</v>
      </c>
      <c r="C79" s="27">
        <v>0</v>
      </c>
      <c r="D79" s="27">
        <v>0</v>
      </c>
      <c r="E79" s="27">
        <v>858.26666259765625</v>
      </c>
      <c r="F79" s="27">
        <v>0</v>
      </c>
      <c r="G79" s="27">
        <v>1780</v>
      </c>
      <c r="H79" s="27">
        <v>633.42055555555555</v>
      </c>
      <c r="I79" s="27">
        <v>0</v>
      </c>
    </row>
    <row r="80" spans="1:9" x14ac:dyDescent="0.2">
      <c r="A80" s="23">
        <v>45660.833333333336</v>
      </c>
      <c r="B80" s="25">
        <v>45660.833333333336</v>
      </c>
      <c r="C80" s="27">
        <v>0</v>
      </c>
      <c r="D80" s="27">
        <v>0</v>
      </c>
      <c r="E80" s="27">
        <v>858.26666259765625</v>
      </c>
      <c r="F80" s="27">
        <v>0</v>
      </c>
      <c r="G80" s="27">
        <v>1780</v>
      </c>
      <c r="H80" s="27">
        <v>637.61333333333334</v>
      </c>
      <c r="I80" s="27">
        <v>4.4444444444444444E-3</v>
      </c>
    </row>
    <row r="81" spans="1:9" x14ac:dyDescent="0.2">
      <c r="A81" s="23">
        <v>45660.875</v>
      </c>
      <c r="B81" s="25">
        <v>45660.875</v>
      </c>
      <c r="C81" s="27">
        <v>0</v>
      </c>
      <c r="D81" s="27">
        <v>0</v>
      </c>
      <c r="E81" s="27">
        <v>858.26666259765625</v>
      </c>
      <c r="F81" s="27">
        <v>0</v>
      </c>
      <c r="G81" s="27">
        <v>1780</v>
      </c>
      <c r="H81" s="27">
        <v>636.42416666666668</v>
      </c>
      <c r="I81" s="27">
        <v>8.8888888888888889E-3</v>
      </c>
    </row>
    <row r="82" spans="1:9" x14ac:dyDescent="0.2">
      <c r="A82" s="23">
        <v>45660.916666666664</v>
      </c>
      <c r="B82" s="25">
        <v>45660.916666666664</v>
      </c>
      <c r="C82" s="27">
        <v>0</v>
      </c>
      <c r="D82" s="27">
        <v>0</v>
      </c>
      <c r="E82" s="27">
        <v>858.26666259765625</v>
      </c>
      <c r="F82" s="27">
        <v>0</v>
      </c>
      <c r="G82" s="27">
        <v>1780</v>
      </c>
      <c r="H82" s="27">
        <v>634.74583333333328</v>
      </c>
      <c r="I82" s="27">
        <v>0</v>
      </c>
    </row>
    <row r="83" spans="1:9" x14ac:dyDescent="0.2">
      <c r="A83" s="23">
        <v>45660.958333333336</v>
      </c>
      <c r="B83" s="25">
        <v>45660.958333333336</v>
      </c>
      <c r="C83" s="27">
        <v>0</v>
      </c>
      <c r="D83" s="27">
        <v>0</v>
      </c>
      <c r="E83" s="27">
        <v>858.26666259765625</v>
      </c>
      <c r="F83" s="27">
        <v>0</v>
      </c>
      <c r="G83" s="27">
        <v>1780</v>
      </c>
      <c r="H83" s="27">
        <v>635.14333333333332</v>
      </c>
      <c r="I83" s="27">
        <v>4.4444444444444444E-3</v>
      </c>
    </row>
    <row r="84" spans="1:9" x14ac:dyDescent="0.2">
      <c r="A84" s="23">
        <v>45661</v>
      </c>
      <c r="B84" s="25">
        <v>45661</v>
      </c>
      <c r="C84" s="27">
        <v>0</v>
      </c>
      <c r="D84" s="27">
        <v>0</v>
      </c>
      <c r="E84" s="27">
        <v>858.26666259765625</v>
      </c>
      <c r="F84" s="27">
        <v>0</v>
      </c>
      <c r="G84" s="27">
        <v>1780</v>
      </c>
      <c r="H84" s="27">
        <v>634.99</v>
      </c>
      <c r="I84" s="27">
        <v>0</v>
      </c>
    </row>
    <row r="85" spans="1:9" x14ac:dyDescent="0.2">
      <c r="A85" s="23">
        <v>45661.041666666664</v>
      </c>
      <c r="B85" s="25">
        <v>45661.041666666664</v>
      </c>
      <c r="C85" s="27">
        <v>0</v>
      </c>
      <c r="D85" s="27">
        <v>0</v>
      </c>
      <c r="E85" s="27">
        <v>858.26666259765625</v>
      </c>
      <c r="F85" s="27">
        <v>0</v>
      </c>
      <c r="G85" s="27">
        <v>1780</v>
      </c>
      <c r="H85" s="27">
        <v>634.93916666666667</v>
      </c>
      <c r="I85" s="27">
        <v>0</v>
      </c>
    </row>
    <row r="86" spans="1:9" x14ac:dyDescent="0.2">
      <c r="A86" s="23">
        <v>45661.083333333336</v>
      </c>
      <c r="B86" s="25">
        <v>45661.083333333336</v>
      </c>
      <c r="C86" s="27">
        <v>0</v>
      </c>
      <c r="D86" s="27">
        <v>0</v>
      </c>
      <c r="E86" s="27">
        <v>858.26666259765625</v>
      </c>
      <c r="F86" s="27">
        <v>0</v>
      </c>
      <c r="G86" s="27">
        <v>1780</v>
      </c>
      <c r="H86" s="27">
        <v>634.65666666666664</v>
      </c>
      <c r="I86" s="27">
        <v>0</v>
      </c>
    </row>
    <row r="87" spans="1:9" x14ac:dyDescent="0.2">
      <c r="A87" s="23">
        <v>45661.125</v>
      </c>
      <c r="B87" s="25">
        <v>45661.125</v>
      </c>
      <c r="C87" s="27">
        <v>0</v>
      </c>
      <c r="D87" s="27">
        <v>0</v>
      </c>
      <c r="E87" s="27">
        <v>858.26666259765625</v>
      </c>
      <c r="F87" s="27">
        <v>0</v>
      </c>
      <c r="G87" s="27">
        <v>1780</v>
      </c>
      <c r="H87" s="27">
        <v>635.36222222222227</v>
      </c>
      <c r="I87" s="27">
        <v>4.4444444444444444E-3</v>
      </c>
    </row>
    <row r="88" spans="1:9" x14ac:dyDescent="0.2">
      <c r="A88" s="23">
        <v>45661.166666666664</v>
      </c>
      <c r="B88" s="25">
        <v>45661.166666666664</v>
      </c>
      <c r="C88" s="27">
        <v>0</v>
      </c>
      <c r="D88" s="27">
        <v>0</v>
      </c>
      <c r="E88" s="27">
        <v>858.26666259765625</v>
      </c>
      <c r="F88" s="27">
        <v>0</v>
      </c>
      <c r="G88" s="27">
        <v>1780</v>
      </c>
      <c r="H88" s="27">
        <v>637.47916666666663</v>
      </c>
      <c r="I88" s="27">
        <v>0</v>
      </c>
    </row>
    <row r="89" spans="1:9" x14ac:dyDescent="0.2">
      <c r="A89" s="23">
        <v>45661.208333333336</v>
      </c>
      <c r="B89" s="25">
        <v>45661.208333333336</v>
      </c>
      <c r="C89" s="27">
        <v>0</v>
      </c>
      <c r="D89" s="27">
        <v>0</v>
      </c>
      <c r="E89" s="27">
        <v>858.26666259765625</v>
      </c>
      <c r="F89" s="27">
        <v>0</v>
      </c>
      <c r="G89" s="27">
        <v>1780</v>
      </c>
      <c r="H89" s="27">
        <v>636.79861111111109</v>
      </c>
      <c r="I89" s="27">
        <v>1.7777777777777778E-2</v>
      </c>
    </row>
    <row r="90" spans="1:9" x14ac:dyDescent="0.2">
      <c r="A90" s="23">
        <v>45661.25</v>
      </c>
      <c r="B90" s="25">
        <v>45661.25</v>
      </c>
      <c r="C90" s="27">
        <v>0</v>
      </c>
      <c r="D90" s="27">
        <v>0</v>
      </c>
      <c r="E90" s="27">
        <v>858.26666259765625</v>
      </c>
      <c r="F90" s="27">
        <v>0</v>
      </c>
      <c r="G90" s="27">
        <v>1780</v>
      </c>
      <c r="H90" s="27">
        <v>636.46888888888884</v>
      </c>
      <c r="I90" s="27">
        <v>4.4444444444444444E-3</v>
      </c>
    </row>
    <row r="91" spans="1:9" x14ac:dyDescent="0.2">
      <c r="A91" s="23">
        <v>45661.291666666664</v>
      </c>
      <c r="B91" s="25">
        <v>45661.291666666664</v>
      </c>
      <c r="C91" s="27">
        <v>0</v>
      </c>
      <c r="D91" s="27">
        <v>0</v>
      </c>
      <c r="E91" s="27">
        <v>858.26666259765625</v>
      </c>
      <c r="F91" s="27">
        <v>0</v>
      </c>
      <c r="G91" s="27">
        <v>1780</v>
      </c>
      <c r="H91" s="27">
        <v>634.53944444444448</v>
      </c>
      <c r="I91" s="27">
        <v>8.8888888888888889E-3</v>
      </c>
    </row>
    <row r="92" spans="1:9" x14ac:dyDescent="0.2">
      <c r="A92" s="23">
        <v>45661.333333333336</v>
      </c>
      <c r="B92" s="25">
        <v>45661.333333333336</v>
      </c>
      <c r="C92" s="27">
        <v>0</v>
      </c>
      <c r="D92" s="27">
        <v>0</v>
      </c>
      <c r="E92" s="27">
        <v>858.26666259765625</v>
      </c>
      <c r="F92" s="27">
        <v>0</v>
      </c>
      <c r="G92" s="27">
        <v>1780</v>
      </c>
      <c r="H92" s="27">
        <v>633.2208333333333</v>
      </c>
      <c r="I92" s="27">
        <v>4.4444444444444444E-3</v>
      </c>
    </row>
    <row r="93" spans="1:9" x14ac:dyDescent="0.2">
      <c r="A93" s="23">
        <v>45661.375</v>
      </c>
      <c r="B93" s="25">
        <v>45661.375</v>
      </c>
      <c r="C93" s="27">
        <v>0</v>
      </c>
      <c r="D93" s="27">
        <v>0</v>
      </c>
      <c r="E93" s="27">
        <v>858.26666259765625</v>
      </c>
      <c r="F93" s="27">
        <v>0</v>
      </c>
      <c r="G93" s="27">
        <v>1780</v>
      </c>
      <c r="H93" s="27">
        <v>634.14388888888891</v>
      </c>
      <c r="I93" s="27">
        <v>0</v>
      </c>
    </row>
    <row r="94" spans="1:9" x14ac:dyDescent="0.2">
      <c r="A94" s="23">
        <v>45661.416666666664</v>
      </c>
      <c r="B94" s="25">
        <v>45661.416666666664</v>
      </c>
      <c r="C94" s="27">
        <v>0</v>
      </c>
      <c r="D94" s="27">
        <v>0</v>
      </c>
      <c r="E94" s="27">
        <v>858.26666259765625</v>
      </c>
      <c r="F94" s="27">
        <v>0</v>
      </c>
      <c r="G94" s="27">
        <v>1780</v>
      </c>
      <c r="H94" s="27">
        <v>635.67666666666662</v>
      </c>
      <c r="I94" s="27">
        <v>1.3333333333333334E-2</v>
      </c>
    </row>
    <row r="95" spans="1:9" x14ac:dyDescent="0.2">
      <c r="A95" s="23">
        <v>45661.458333333336</v>
      </c>
      <c r="B95" s="25">
        <v>45661.458333333336</v>
      </c>
      <c r="C95" s="27">
        <v>0</v>
      </c>
      <c r="D95" s="27">
        <v>0</v>
      </c>
      <c r="E95" s="27">
        <v>858.26666259765625</v>
      </c>
      <c r="F95" s="27">
        <v>0</v>
      </c>
      <c r="G95" s="27">
        <v>1780</v>
      </c>
      <c r="H95" s="27">
        <v>637.89444444444439</v>
      </c>
      <c r="I95" s="27">
        <v>0</v>
      </c>
    </row>
    <row r="96" spans="1:9" x14ac:dyDescent="0.2">
      <c r="A96" s="23">
        <v>45661.5</v>
      </c>
      <c r="B96" s="25">
        <v>45661.5</v>
      </c>
      <c r="C96" s="27">
        <v>0</v>
      </c>
      <c r="D96" s="27">
        <v>0</v>
      </c>
      <c r="E96" s="27">
        <v>858.26666259765625</v>
      </c>
      <c r="F96" s="27">
        <v>0</v>
      </c>
      <c r="G96" s="27">
        <v>1780</v>
      </c>
      <c r="H96" s="27">
        <v>638.03611111111115</v>
      </c>
      <c r="I96" s="27">
        <v>0</v>
      </c>
    </row>
    <row r="97" spans="1:9" x14ac:dyDescent="0.2">
      <c r="A97" s="23">
        <v>45661.541666666664</v>
      </c>
      <c r="B97" s="25">
        <v>45661.541666666664</v>
      </c>
      <c r="C97" s="27">
        <v>25.233666659461129</v>
      </c>
      <c r="D97" s="27">
        <v>10.357388757069906</v>
      </c>
      <c r="E97" s="27">
        <v>858.36786037868922</v>
      </c>
      <c r="F97" s="27">
        <v>310.92916666666667</v>
      </c>
      <c r="G97" s="27">
        <v>1780</v>
      </c>
      <c r="H97" s="27">
        <v>641.02</v>
      </c>
      <c r="I97" s="27">
        <v>80.409166666666664</v>
      </c>
    </row>
    <row r="98" spans="1:9" x14ac:dyDescent="0.2">
      <c r="A98" s="23">
        <v>45661.583333333336</v>
      </c>
      <c r="B98" s="25">
        <v>45661.583333333336</v>
      </c>
      <c r="C98" s="27">
        <v>0</v>
      </c>
      <c r="D98" s="27">
        <v>0</v>
      </c>
      <c r="E98" s="27">
        <v>858.45001220703125</v>
      </c>
      <c r="F98" s="27">
        <v>0</v>
      </c>
      <c r="G98" s="27">
        <v>1780</v>
      </c>
      <c r="H98" s="27">
        <v>639.25722222222225</v>
      </c>
      <c r="I98" s="27">
        <v>0</v>
      </c>
    </row>
    <row r="99" spans="1:9" x14ac:dyDescent="0.2">
      <c r="A99" s="23">
        <v>45661.625</v>
      </c>
      <c r="B99" s="25">
        <v>45661.625</v>
      </c>
      <c r="C99" s="27">
        <v>0</v>
      </c>
      <c r="D99" s="27">
        <v>0</v>
      </c>
      <c r="E99" s="27">
        <v>858.45001220703125</v>
      </c>
      <c r="F99" s="27">
        <v>0</v>
      </c>
      <c r="G99" s="27">
        <v>1780</v>
      </c>
      <c r="H99" s="27">
        <v>636.03611111111115</v>
      </c>
      <c r="I99" s="27">
        <v>8.8888888888888889E-3</v>
      </c>
    </row>
    <row r="100" spans="1:9" x14ac:dyDescent="0.2">
      <c r="A100" s="23">
        <v>45661.666666666664</v>
      </c>
      <c r="B100" s="25">
        <v>45661.666666666664</v>
      </c>
      <c r="C100" s="27">
        <v>0</v>
      </c>
      <c r="D100" s="27">
        <v>0</v>
      </c>
      <c r="E100" s="27">
        <v>858.45001220703125</v>
      </c>
      <c r="F100" s="27">
        <v>0</v>
      </c>
      <c r="G100" s="27">
        <v>1780</v>
      </c>
      <c r="H100" s="27">
        <v>641.16222222222223</v>
      </c>
      <c r="I100" s="27">
        <v>1.3333333333333334E-2</v>
      </c>
    </row>
    <row r="101" spans="1:9" x14ac:dyDescent="0.2">
      <c r="A101" s="23">
        <v>45661.708333333336</v>
      </c>
      <c r="B101" s="25">
        <v>45661.708333333336</v>
      </c>
      <c r="C101" s="27">
        <v>0</v>
      </c>
      <c r="D101" s="27">
        <v>0</v>
      </c>
      <c r="E101" s="27">
        <v>858.45001220703125</v>
      </c>
      <c r="F101" s="27">
        <v>0</v>
      </c>
      <c r="G101" s="27">
        <v>1780</v>
      </c>
      <c r="H101" s="27">
        <v>633.01027777777779</v>
      </c>
      <c r="I101" s="27">
        <v>4.4444444444444444E-3</v>
      </c>
    </row>
    <row r="102" spans="1:9" x14ac:dyDescent="0.2">
      <c r="A102" s="23">
        <v>45661.75</v>
      </c>
      <c r="B102" s="25">
        <v>45661.75</v>
      </c>
      <c r="C102" s="27">
        <v>0</v>
      </c>
      <c r="D102" s="27">
        <v>0</v>
      </c>
      <c r="E102" s="27">
        <v>858.45001220703125</v>
      </c>
      <c r="F102" s="27">
        <v>0</v>
      </c>
      <c r="G102" s="27">
        <v>1780</v>
      </c>
      <c r="H102" s="27">
        <v>636.86749999999995</v>
      </c>
      <c r="I102" s="27">
        <v>0</v>
      </c>
    </row>
    <row r="103" spans="1:9" x14ac:dyDescent="0.2">
      <c r="A103" s="23">
        <v>45661.791666666664</v>
      </c>
      <c r="B103" s="25">
        <v>45661.791666666664</v>
      </c>
      <c r="C103" s="27">
        <v>23.77466670566135</v>
      </c>
      <c r="D103" s="27">
        <v>10.013638761209117</v>
      </c>
      <c r="E103" s="27">
        <v>858.47389526367192</v>
      </c>
      <c r="F103" s="27">
        <v>300.54527777777776</v>
      </c>
      <c r="G103" s="27">
        <v>1780</v>
      </c>
      <c r="H103" s="27">
        <v>632.65277777777783</v>
      </c>
      <c r="I103" s="27">
        <v>77.615833333333327</v>
      </c>
    </row>
    <row r="104" spans="1:9" x14ac:dyDescent="0.2">
      <c r="A104" s="23">
        <v>45661.833333333336</v>
      </c>
      <c r="B104" s="25">
        <v>45661.833333333336</v>
      </c>
      <c r="C104" s="27">
        <v>0</v>
      </c>
      <c r="D104" s="27">
        <v>0</v>
      </c>
      <c r="E104" s="27">
        <v>858.61663818359375</v>
      </c>
      <c r="F104" s="27">
        <v>0</v>
      </c>
      <c r="G104" s="27">
        <v>1780</v>
      </c>
      <c r="H104" s="27">
        <v>633.48083333333329</v>
      </c>
      <c r="I104" s="27">
        <v>0</v>
      </c>
    </row>
    <row r="105" spans="1:9" x14ac:dyDescent="0.2">
      <c r="A105" s="23">
        <v>45661.875</v>
      </c>
      <c r="B105" s="25">
        <v>45661.875</v>
      </c>
      <c r="C105" s="27">
        <v>0</v>
      </c>
      <c r="D105" s="27">
        <v>0</v>
      </c>
      <c r="E105" s="27">
        <v>858.61663818359375</v>
      </c>
      <c r="F105" s="27">
        <v>0</v>
      </c>
      <c r="G105" s="27">
        <v>1780</v>
      </c>
      <c r="H105" s="27">
        <v>633.53499999999997</v>
      </c>
      <c r="I105" s="27">
        <v>4.4444444444444444E-3</v>
      </c>
    </row>
    <row r="106" spans="1:9" x14ac:dyDescent="0.2">
      <c r="A106" s="23">
        <v>45661.916666666664</v>
      </c>
      <c r="B106" s="25">
        <v>45661.916666666664</v>
      </c>
      <c r="C106" s="27">
        <v>0</v>
      </c>
      <c r="D106" s="27">
        <v>0</v>
      </c>
      <c r="E106" s="27">
        <v>858.61663818359375</v>
      </c>
      <c r="F106" s="27">
        <v>0</v>
      </c>
      <c r="G106" s="27">
        <v>1780</v>
      </c>
      <c r="H106" s="27">
        <v>635.50777777777773</v>
      </c>
      <c r="I106" s="27">
        <v>0</v>
      </c>
    </row>
    <row r="107" spans="1:9" x14ac:dyDescent="0.2">
      <c r="A107" s="23">
        <v>45661.958333333336</v>
      </c>
      <c r="B107" s="25">
        <v>45661.958333333336</v>
      </c>
      <c r="C107" s="27">
        <v>0</v>
      </c>
      <c r="D107" s="27">
        <v>0</v>
      </c>
      <c r="E107" s="27">
        <v>858.61663818359375</v>
      </c>
      <c r="F107" s="27">
        <v>0</v>
      </c>
      <c r="G107" s="27">
        <v>1780</v>
      </c>
      <c r="H107" s="27">
        <v>637.04888888888888</v>
      </c>
      <c r="I107" s="27">
        <v>0</v>
      </c>
    </row>
    <row r="108" spans="1:9" x14ac:dyDescent="0.2">
      <c r="A108" s="23">
        <v>45662</v>
      </c>
      <c r="B108" s="25">
        <v>45662</v>
      </c>
      <c r="C108" s="27">
        <v>0</v>
      </c>
      <c r="D108" s="27">
        <v>0</v>
      </c>
      <c r="E108" s="27">
        <v>858.61663818359375</v>
      </c>
      <c r="F108" s="27">
        <v>0</v>
      </c>
      <c r="G108" s="27">
        <v>1780</v>
      </c>
      <c r="H108" s="27">
        <v>632.96527777777783</v>
      </c>
      <c r="I108" s="27">
        <v>8.8888888888888889E-3</v>
      </c>
    </row>
    <row r="109" spans="1:9" x14ac:dyDescent="0.2">
      <c r="A109" s="23">
        <v>45662.041666666664</v>
      </c>
      <c r="B109" s="25">
        <v>45662.041666666664</v>
      </c>
      <c r="C109" s="27">
        <v>0</v>
      </c>
      <c r="D109" s="27">
        <v>0</v>
      </c>
      <c r="E109" s="27">
        <v>858.61663818359375</v>
      </c>
      <c r="F109" s="27">
        <v>0</v>
      </c>
      <c r="G109" s="27">
        <v>1780</v>
      </c>
      <c r="H109" s="27">
        <v>636.47833333333335</v>
      </c>
      <c r="I109" s="27">
        <v>0</v>
      </c>
    </row>
    <row r="110" spans="1:9" x14ac:dyDescent="0.2">
      <c r="A110" s="23">
        <v>45662.083333333336</v>
      </c>
      <c r="B110" s="25">
        <v>45662.083333333336</v>
      </c>
      <c r="C110" s="27">
        <v>0</v>
      </c>
      <c r="D110" s="27">
        <v>0</v>
      </c>
      <c r="E110" s="27">
        <v>858.61663818359375</v>
      </c>
      <c r="F110" s="27">
        <v>0</v>
      </c>
      <c r="G110" s="27">
        <v>1780</v>
      </c>
      <c r="H110" s="27">
        <v>637.84361111111116</v>
      </c>
      <c r="I110" s="27">
        <v>4.4444444444444444E-3</v>
      </c>
    </row>
    <row r="111" spans="1:9" x14ac:dyDescent="0.2">
      <c r="A111" s="23">
        <v>45662.125</v>
      </c>
      <c r="B111" s="25">
        <v>45662.125</v>
      </c>
      <c r="C111" s="27">
        <v>13.883083299001058</v>
      </c>
      <c r="D111" s="27">
        <v>5.5567777089277905</v>
      </c>
      <c r="E111" s="27">
        <v>858.62762152777782</v>
      </c>
      <c r="F111" s="27">
        <v>166.76416666666665</v>
      </c>
      <c r="G111" s="27">
        <v>1780</v>
      </c>
      <c r="H111" s="27">
        <v>638.93361111111108</v>
      </c>
      <c r="I111" s="27">
        <v>43.156666666666666</v>
      </c>
    </row>
    <row r="112" spans="1:9" x14ac:dyDescent="0.2">
      <c r="A112" s="23">
        <v>45662.166666666664</v>
      </c>
      <c r="B112" s="25">
        <v>45662.166666666664</v>
      </c>
      <c r="C112" s="27">
        <v>143.82880560980902</v>
      </c>
      <c r="D112" s="27">
        <v>58.984193685452141</v>
      </c>
      <c r="E112" s="27">
        <v>859.2222500610352</v>
      </c>
      <c r="F112" s="27">
        <v>1770.2669444444443</v>
      </c>
      <c r="G112" s="27">
        <v>1780</v>
      </c>
      <c r="H112" s="27">
        <v>640.80083333333334</v>
      </c>
      <c r="I112" s="27">
        <v>457.37944444444446</v>
      </c>
    </row>
    <row r="113" spans="1:9" x14ac:dyDescent="0.2">
      <c r="A113" s="23">
        <v>45662.208333333336</v>
      </c>
      <c r="B113" s="25">
        <v>45662.208333333336</v>
      </c>
      <c r="C113" s="27">
        <v>141.72438905927871</v>
      </c>
      <c r="D113" s="27">
        <v>59.283527015050254</v>
      </c>
      <c r="E113" s="27">
        <v>860.23919443766272</v>
      </c>
      <c r="F113" s="27">
        <v>1780</v>
      </c>
      <c r="G113" s="27">
        <v>1780</v>
      </c>
      <c r="H113" s="27">
        <v>641.19527777777773</v>
      </c>
      <c r="I113" s="27">
        <v>459.91694444444443</v>
      </c>
    </row>
    <row r="114" spans="1:9" x14ac:dyDescent="0.2">
      <c r="A114" s="23">
        <v>45662.25</v>
      </c>
      <c r="B114" s="25">
        <v>45662.25</v>
      </c>
      <c r="C114" s="27">
        <v>140.41202775743272</v>
      </c>
      <c r="D114" s="27">
        <v>59.267054793039961</v>
      </c>
      <c r="E114" s="27">
        <v>861.25613881429035</v>
      </c>
      <c r="F114" s="27">
        <v>1779.8125</v>
      </c>
      <c r="G114" s="27">
        <v>1780</v>
      </c>
      <c r="H114" s="27">
        <v>643.00805555555553</v>
      </c>
      <c r="I114" s="27">
        <v>459.96083333333331</v>
      </c>
    </row>
    <row r="115" spans="1:9" x14ac:dyDescent="0.2">
      <c r="A115" s="23">
        <v>45662.291666666664</v>
      </c>
      <c r="B115" s="25">
        <v>45662.291666666664</v>
      </c>
      <c r="C115" s="27">
        <v>105.89033331129286</v>
      </c>
      <c r="D115" s="27">
        <v>44.903277200063073</v>
      </c>
      <c r="E115" s="27">
        <v>862.24349782307945</v>
      </c>
      <c r="F115" s="27">
        <v>1347.6591666666666</v>
      </c>
      <c r="G115" s="27">
        <v>1780</v>
      </c>
      <c r="H115" s="27">
        <v>642.7405555555556</v>
      </c>
      <c r="I115" s="27">
        <v>348.4952777777778</v>
      </c>
    </row>
    <row r="116" spans="1:9" x14ac:dyDescent="0.2">
      <c r="A116" s="23">
        <v>45662.333333333336</v>
      </c>
      <c r="B116" s="25">
        <v>45662.333333333336</v>
      </c>
      <c r="C116" s="27">
        <v>29.147749955919053</v>
      </c>
      <c r="D116" s="27">
        <v>12.254527620342042</v>
      </c>
      <c r="E116" s="27">
        <v>862.55535018920898</v>
      </c>
      <c r="F116" s="27">
        <v>367.77777777777777</v>
      </c>
      <c r="G116" s="27">
        <v>1780</v>
      </c>
      <c r="H116" s="27">
        <v>636.34500000000003</v>
      </c>
      <c r="I116" s="27">
        <v>94.982500000000002</v>
      </c>
    </row>
    <row r="117" spans="1:9" x14ac:dyDescent="0.2">
      <c r="A117" s="23">
        <v>45662.375</v>
      </c>
      <c r="B117" s="25">
        <v>45662.375</v>
      </c>
      <c r="C117" s="27">
        <v>140.278694352044</v>
      </c>
      <c r="D117" s="27">
        <v>59.283527015050254</v>
      </c>
      <c r="E117" s="27">
        <v>863.25613881429035</v>
      </c>
      <c r="F117" s="27">
        <v>1780</v>
      </c>
      <c r="G117" s="27">
        <v>1780</v>
      </c>
      <c r="H117" s="27">
        <v>638.20444444444445</v>
      </c>
      <c r="I117" s="27">
        <v>459.48694444444442</v>
      </c>
    </row>
    <row r="118" spans="1:9" x14ac:dyDescent="0.2">
      <c r="A118" s="23">
        <v>45662.416666666664</v>
      </c>
      <c r="B118" s="25">
        <v>45662.416666666664</v>
      </c>
      <c r="C118" s="27">
        <v>139.40027771843805</v>
      </c>
      <c r="D118" s="27">
        <v>59.299999237060547</v>
      </c>
      <c r="E118" s="27">
        <v>864.27301372951933</v>
      </c>
      <c r="F118" s="27">
        <v>1779.8944444444444</v>
      </c>
      <c r="G118" s="27">
        <v>1780</v>
      </c>
      <c r="H118" s="27">
        <v>638.23444444444442</v>
      </c>
      <c r="I118" s="27">
        <v>459.56444444444446</v>
      </c>
    </row>
    <row r="119" spans="1:9" x14ac:dyDescent="0.2">
      <c r="A119" s="23">
        <v>45662.458333333336</v>
      </c>
      <c r="B119" s="25">
        <v>45662.458333333336</v>
      </c>
      <c r="C119" s="27">
        <v>117.42086106618245</v>
      </c>
      <c r="D119" s="27">
        <v>50.717971569697063</v>
      </c>
      <c r="E119" s="27">
        <v>865.2796411810981</v>
      </c>
      <c r="F119" s="27">
        <v>1522.895</v>
      </c>
      <c r="G119" s="27">
        <v>1780</v>
      </c>
      <c r="H119" s="27">
        <v>639.79944444444448</v>
      </c>
      <c r="I119" s="27">
        <v>393.375</v>
      </c>
    </row>
    <row r="120" spans="1:9" x14ac:dyDescent="0.2">
      <c r="A120" s="23">
        <v>45662.5</v>
      </c>
      <c r="B120" s="25">
        <v>45662.5</v>
      </c>
      <c r="C120" s="27">
        <v>0</v>
      </c>
      <c r="D120" s="27">
        <v>0</v>
      </c>
      <c r="E120" s="27">
        <v>865.6500244140625</v>
      </c>
      <c r="F120" s="27">
        <v>0</v>
      </c>
      <c r="G120" s="27">
        <v>1780</v>
      </c>
      <c r="H120" s="27">
        <v>632.99083333333328</v>
      </c>
      <c r="I120" s="27">
        <v>4.4444444444444444E-3</v>
      </c>
    </row>
    <row r="121" spans="1:9" x14ac:dyDescent="0.2">
      <c r="A121" s="23">
        <v>45662.541666666664</v>
      </c>
      <c r="B121" s="25">
        <v>45662.541666666664</v>
      </c>
      <c r="C121" s="27">
        <v>0</v>
      </c>
      <c r="D121" s="27">
        <v>0</v>
      </c>
      <c r="E121" s="27">
        <v>865.6500244140625</v>
      </c>
      <c r="F121" s="27">
        <v>0</v>
      </c>
      <c r="G121" s="27">
        <v>1780</v>
      </c>
      <c r="H121" s="27">
        <v>636.78777777777782</v>
      </c>
      <c r="I121" s="27">
        <v>8.8888888888888889E-3</v>
      </c>
    </row>
    <row r="122" spans="1:9" x14ac:dyDescent="0.2">
      <c r="A122" s="23">
        <v>45662.583333333336</v>
      </c>
      <c r="B122" s="25">
        <v>45662.583333333336</v>
      </c>
      <c r="C122" s="27">
        <v>12.815333330366347</v>
      </c>
      <c r="D122" s="27">
        <v>5.2669999337196352</v>
      </c>
      <c r="E122" s="27">
        <v>865.72931060791018</v>
      </c>
      <c r="F122" s="27">
        <v>158.09222222222223</v>
      </c>
      <c r="G122" s="27">
        <v>1780</v>
      </c>
      <c r="H122" s="27">
        <v>640.65666666666664</v>
      </c>
      <c r="I122" s="27">
        <v>40.897500000000001</v>
      </c>
    </row>
    <row r="123" spans="1:9" x14ac:dyDescent="0.2">
      <c r="A123" s="23">
        <v>45662.625</v>
      </c>
      <c r="B123" s="25">
        <v>45662.625</v>
      </c>
      <c r="C123" s="27">
        <v>102.33497223324245</v>
      </c>
      <c r="D123" s="27">
        <v>39.290027272966171</v>
      </c>
      <c r="E123" s="27">
        <v>865.98613382975259</v>
      </c>
      <c r="F123" s="27">
        <v>1179.2922222222223</v>
      </c>
      <c r="G123" s="27">
        <v>1780</v>
      </c>
      <c r="H123" s="27">
        <v>642.01888888888891</v>
      </c>
      <c r="I123" s="27">
        <v>304.75805555555553</v>
      </c>
    </row>
    <row r="124" spans="1:9" x14ac:dyDescent="0.2">
      <c r="A124" s="23">
        <v>45662.666666666664</v>
      </c>
      <c r="B124" s="25">
        <v>45662.666666666664</v>
      </c>
      <c r="C124" s="27">
        <v>153.1559722603692</v>
      </c>
      <c r="D124" s="27">
        <v>59.299999237060547</v>
      </c>
      <c r="E124" s="27">
        <v>866.95085661146379</v>
      </c>
      <c r="F124" s="27">
        <v>1779.9291666666666</v>
      </c>
      <c r="G124" s="27">
        <v>1780</v>
      </c>
      <c r="H124" s="27">
        <v>637.01222222222225</v>
      </c>
      <c r="I124" s="27">
        <v>459.4</v>
      </c>
    </row>
    <row r="125" spans="1:9" x14ac:dyDescent="0.2">
      <c r="A125" s="23">
        <v>45662.708333333336</v>
      </c>
      <c r="B125" s="25">
        <v>45662.708333333336</v>
      </c>
      <c r="C125" s="27">
        <v>152.15075006273057</v>
      </c>
      <c r="D125" s="27">
        <v>59.299999237060547</v>
      </c>
      <c r="E125" s="27">
        <v>867.96780098809131</v>
      </c>
      <c r="F125" s="27">
        <v>1779.9327777777778</v>
      </c>
      <c r="G125" s="27">
        <v>1780</v>
      </c>
      <c r="H125" s="27">
        <v>637.18444444444447</v>
      </c>
      <c r="I125" s="27">
        <v>459.35250000000002</v>
      </c>
    </row>
    <row r="126" spans="1:9" x14ac:dyDescent="0.2">
      <c r="A126" s="23">
        <v>45662.75</v>
      </c>
      <c r="B126" s="25">
        <v>45662.75</v>
      </c>
      <c r="C126" s="27">
        <v>152.71386102040609</v>
      </c>
      <c r="D126" s="27">
        <v>59.299999237060547</v>
      </c>
      <c r="E126" s="27">
        <v>868.98474536471895</v>
      </c>
      <c r="F126" s="27">
        <v>1780</v>
      </c>
      <c r="G126" s="27">
        <v>1780</v>
      </c>
      <c r="H126" s="27">
        <v>637.98527777777781</v>
      </c>
      <c r="I126" s="27">
        <v>459.53888888888889</v>
      </c>
    </row>
    <row r="127" spans="1:9" x14ac:dyDescent="0.2">
      <c r="A127" s="23">
        <v>45662.791666666664</v>
      </c>
      <c r="B127" s="25">
        <v>45662.791666666664</v>
      </c>
      <c r="C127" s="27">
        <v>135.29827765570747</v>
      </c>
      <c r="D127" s="27">
        <v>53.221749315261839</v>
      </c>
      <c r="E127" s="27">
        <v>869.99569583468963</v>
      </c>
      <c r="F127" s="27">
        <v>1597.5833333333333</v>
      </c>
      <c r="G127" s="27">
        <v>1780</v>
      </c>
      <c r="H127" s="27">
        <v>638.36694444444447</v>
      </c>
      <c r="I127" s="27">
        <v>412.55</v>
      </c>
    </row>
    <row r="128" spans="1:9" x14ac:dyDescent="0.2">
      <c r="A128" s="23">
        <v>45662.833333333336</v>
      </c>
      <c r="B128" s="25">
        <v>45662.833333333336</v>
      </c>
      <c r="C128" s="27">
        <v>0</v>
      </c>
      <c r="D128" s="27">
        <v>0</v>
      </c>
      <c r="E128" s="27">
        <v>870.4000244140625</v>
      </c>
      <c r="F128" s="27">
        <v>0</v>
      </c>
      <c r="G128" s="27">
        <v>1780</v>
      </c>
      <c r="H128" s="27">
        <v>632.94861111111106</v>
      </c>
      <c r="I128" s="27">
        <v>8.8888888888888889E-3</v>
      </c>
    </row>
    <row r="129" spans="1:9" x14ac:dyDescent="0.2">
      <c r="A129" s="23">
        <v>45662.875</v>
      </c>
      <c r="B129" s="25">
        <v>45662.875</v>
      </c>
      <c r="C129" s="27">
        <v>84.77736110899184</v>
      </c>
      <c r="D129" s="27">
        <v>34.440332889689337</v>
      </c>
      <c r="E129" s="27">
        <v>870.57605277167431</v>
      </c>
      <c r="F129" s="27">
        <v>1033.6516666666666</v>
      </c>
      <c r="G129" s="27">
        <v>1780</v>
      </c>
      <c r="H129" s="27">
        <v>637.33805555555557</v>
      </c>
      <c r="I129" s="27">
        <v>266.80472222222221</v>
      </c>
    </row>
    <row r="130" spans="1:9" x14ac:dyDescent="0.2">
      <c r="A130" s="23">
        <v>45662.916666666664</v>
      </c>
      <c r="B130" s="25">
        <v>45662.916666666664</v>
      </c>
      <c r="C130" s="27">
        <v>7.5728055742051863</v>
      </c>
      <c r="D130" s="27">
        <v>3.3768055121103924</v>
      </c>
      <c r="E130" s="27">
        <v>871.06505355834963</v>
      </c>
      <c r="F130" s="27">
        <v>101.46194444444444</v>
      </c>
      <c r="G130" s="27">
        <v>1780</v>
      </c>
      <c r="H130" s="27">
        <v>635.04138888888883</v>
      </c>
      <c r="I130" s="27">
        <v>26.213333333333335</v>
      </c>
    </row>
    <row r="131" spans="1:9" x14ac:dyDescent="0.2">
      <c r="A131" s="23">
        <v>45662.958333333336</v>
      </c>
      <c r="B131" s="25">
        <v>45662.958333333336</v>
      </c>
      <c r="C131" s="27">
        <v>20.269305538601344</v>
      </c>
      <c r="D131" s="27">
        <v>8.5690832256774101</v>
      </c>
      <c r="E131" s="27">
        <v>871.09040484958223</v>
      </c>
      <c r="F131" s="27">
        <v>257.19527777777779</v>
      </c>
      <c r="G131" s="27">
        <v>1780</v>
      </c>
      <c r="H131" s="27">
        <v>638.97055555555551</v>
      </c>
      <c r="I131" s="27">
        <v>66.537499999999994</v>
      </c>
    </row>
    <row r="132" spans="1:9" x14ac:dyDescent="0.2">
      <c r="A132" s="23">
        <v>45663</v>
      </c>
      <c r="B132" s="25">
        <v>45663</v>
      </c>
      <c r="C132" s="27">
        <v>35.5282778623369</v>
      </c>
      <c r="D132" s="27">
        <v>14.540444259858793</v>
      </c>
      <c r="E132" s="27">
        <v>871.2669104851617</v>
      </c>
      <c r="F132" s="27">
        <v>436.32111111111112</v>
      </c>
      <c r="G132" s="27">
        <v>1780</v>
      </c>
      <c r="H132" s="27">
        <v>638.67972222222227</v>
      </c>
      <c r="I132" s="27">
        <v>112.72638888888889</v>
      </c>
    </row>
    <row r="133" spans="1:9" x14ac:dyDescent="0.2">
      <c r="A133" s="23">
        <v>45663.041666666664</v>
      </c>
      <c r="B133" s="25">
        <v>45663.041666666664</v>
      </c>
      <c r="C133" s="27">
        <v>145.18941664801704</v>
      </c>
      <c r="D133" s="27">
        <v>59.283527015050254</v>
      </c>
      <c r="E133" s="27">
        <v>872.00168974134658</v>
      </c>
      <c r="F133" s="27">
        <v>1779.9077777777777</v>
      </c>
      <c r="G133" s="27">
        <v>1780</v>
      </c>
      <c r="H133" s="27">
        <v>642.7497222222222</v>
      </c>
      <c r="I133" s="27">
        <v>460.09055555555557</v>
      </c>
    </row>
    <row r="134" spans="1:9" x14ac:dyDescent="0.2">
      <c r="A134" s="23">
        <v>45663.083333333336</v>
      </c>
      <c r="B134" s="25">
        <v>45663.083333333336</v>
      </c>
      <c r="C134" s="27">
        <v>144.24608336554633</v>
      </c>
      <c r="D134" s="27">
        <v>59.283527015050254</v>
      </c>
      <c r="E134" s="27">
        <v>873.01863411797422</v>
      </c>
      <c r="F134" s="27">
        <v>1780</v>
      </c>
      <c r="G134" s="27">
        <v>1780</v>
      </c>
      <c r="H134" s="27">
        <v>642.74333333333334</v>
      </c>
      <c r="I134" s="27">
        <v>460.08749999999998</v>
      </c>
    </row>
    <row r="135" spans="1:9" x14ac:dyDescent="0.2">
      <c r="A135" s="23">
        <v>45663.125</v>
      </c>
      <c r="B135" s="25">
        <v>45663.125</v>
      </c>
      <c r="C135" s="27">
        <v>143.70724992540147</v>
      </c>
      <c r="D135" s="27">
        <v>59.283527015050254</v>
      </c>
      <c r="E135" s="27">
        <v>874.03557849460174</v>
      </c>
      <c r="F135" s="27">
        <v>1780</v>
      </c>
      <c r="G135" s="27">
        <v>1780</v>
      </c>
      <c r="H135" s="27">
        <v>644.42555555555555</v>
      </c>
      <c r="I135" s="27">
        <v>460.14444444444445</v>
      </c>
    </row>
    <row r="136" spans="1:9" x14ac:dyDescent="0.2">
      <c r="A136" s="23">
        <v>45663.166666666664</v>
      </c>
      <c r="B136" s="25">
        <v>45663.166666666664</v>
      </c>
      <c r="C136" s="27">
        <v>113.97977770487468</v>
      </c>
      <c r="D136" s="27">
        <v>47.04649939715862</v>
      </c>
      <c r="E136" s="27">
        <v>875.0172007581923</v>
      </c>
      <c r="F136" s="27">
        <v>1412.1619444444445</v>
      </c>
      <c r="G136" s="27">
        <v>1780</v>
      </c>
      <c r="H136" s="27">
        <v>643.76750000000004</v>
      </c>
      <c r="I136" s="27">
        <v>365.06694444444446</v>
      </c>
    </row>
    <row r="137" spans="1:9" x14ac:dyDescent="0.2">
      <c r="A137" s="23">
        <v>45663.208333333336</v>
      </c>
      <c r="B137" s="25">
        <v>45663.208333333336</v>
      </c>
      <c r="C137" s="27">
        <v>143.32811104244655</v>
      </c>
      <c r="D137" s="27">
        <v>59.299999237060547</v>
      </c>
      <c r="E137" s="27">
        <v>875.86600414699979</v>
      </c>
      <c r="F137" s="27">
        <v>1779.8052777777777</v>
      </c>
      <c r="G137" s="27">
        <v>1780</v>
      </c>
      <c r="H137" s="27">
        <v>643.83583333333331</v>
      </c>
      <c r="I137" s="27">
        <v>460.26166666666666</v>
      </c>
    </row>
    <row r="138" spans="1:9" x14ac:dyDescent="0.2">
      <c r="A138" s="23">
        <v>45663.25</v>
      </c>
      <c r="B138" s="25">
        <v>45663.25</v>
      </c>
      <c r="C138" s="27">
        <v>18.128333329094779</v>
      </c>
      <c r="D138" s="27">
        <v>7.8901943429311112</v>
      </c>
      <c r="E138" s="27">
        <v>876.50682240804042</v>
      </c>
      <c r="F138" s="27">
        <v>236.84694444444443</v>
      </c>
      <c r="G138" s="27">
        <v>1780</v>
      </c>
      <c r="H138" s="27">
        <v>638.16250000000002</v>
      </c>
      <c r="I138" s="27">
        <v>61.251666666666665</v>
      </c>
    </row>
    <row r="139" spans="1:9" x14ac:dyDescent="0.2">
      <c r="A139" s="23">
        <v>45663.291666666664</v>
      </c>
      <c r="B139" s="25">
        <v>45663.291666666664</v>
      </c>
      <c r="C139" s="27">
        <v>16.22347224129571</v>
      </c>
      <c r="D139" s="27">
        <v>6.7724999157587691</v>
      </c>
      <c r="E139" s="27">
        <v>876.60010382758242</v>
      </c>
      <c r="F139" s="27">
        <v>203.29611111111112</v>
      </c>
      <c r="G139" s="27">
        <v>1780</v>
      </c>
      <c r="H139" s="27">
        <v>636.21722222222218</v>
      </c>
      <c r="I139" s="27">
        <v>52.585555555555558</v>
      </c>
    </row>
    <row r="140" spans="1:9" x14ac:dyDescent="0.2">
      <c r="A140" s="23">
        <v>45663.333333333336</v>
      </c>
      <c r="B140" s="25">
        <v>45663.333333333336</v>
      </c>
      <c r="C140" s="27">
        <v>17.358777797487047</v>
      </c>
      <c r="D140" s="27">
        <v>7.3896943503287105</v>
      </c>
      <c r="E140" s="27">
        <v>876.68010503133144</v>
      </c>
      <c r="F140" s="27">
        <v>221.64555555555555</v>
      </c>
      <c r="G140" s="27">
        <v>1780</v>
      </c>
      <c r="H140" s="27">
        <v>635.25305555555553</v>
      </c>
      <c r="I140" s="27">
        <v>57.258055555555558</v>
      </c>
    </row>
    <row r="141" spans="1:9" x14ac:dyDescent="0.2">
      <c r="A141" s="23">
        <v>45663.375</v>
      </c>
      <c r="B141" s="25">
        <v>45663.375</v>
      </c>
      <c r="C141" s="27">
        <v>79.601638929578996</v>
      </c>
      <c r="D141" s="27">
        <v>29.619999619192548</v>
      </c>
      <c r="E141" s="27">
        <v>876.95279168023001</v>
      </c>
      <c r="F141" s="27">
        <v>889.08388888888885</v>
      </c>
      <c r="G141" s="27">
        <v>1780</v>
      </c>
      <c r="H141" s="27">
        <v>634.95833333333337</v>
      </c>
      <c r="I141" s="27">
        <v>229.27444444444444</v>
      </c>
    </row>
    <row r="142" spans="1:9" x14ac:dyDescent="0.2">
      <c r="A142" s="23">
        <v>45663.416666666664</v>
      </c>
      <c r="B142" s="25">
        <v>45663.416666666664</v>
      </c>
      <c r="C142" s="27">
        <v>145.53472235361735</v>
      </c>
      <c r="D142" s="27">
        <v>55.042249292267691</v>
      </c>
      <c r="E142" s="27">
        <v>877.74872178819442</v>
      </c>
      <c r="F142" s="27">
        <v>1652.1369444444445</v>
      </c>
      <c r="G142" s="27">
        <v>1780</v>
      </c>
      <c r="H142" s="27">
        <v>638.45694444444439</v>
      </c>
      <c r="I142" s="27">
        <v>426.495</v>
      </c>
    </row>
    <row r="143" spans="1:9" x14ac:dyDescent="0.2">
      <c r="A143" s="23">
        <v>45663.458333333336</v>
      </c>
      <c r="B143" s="25">
        <v>45663.458333333336</v>
      </c>
      <c r="C143" s="27">
        <v>157.03597215864394</v>
      </c>
      <c r="D143" s="27">
        <v>59.299999237060547</v>
      </c>
      <c r="E143" s="27">
        <v>878.76418504503033</v>
      </c>
      <c r="F143" s="27">
        <v>1780</v>
      </c>
      <c r="G143" s="27">
        <v>1780</v>
      </c>
      <c r="H143" s="27">
        <v>636.73249999999996</v>
      </c>
      <c r="I143" s="27">
        <v>459.31555555555553</v>
      </c>
    </row>
    <row r="144" spans="1:9" x14ac:dyDescent="0.2">
      <c r="A144" s="23">
        <v>45663.5</v>
      </c>
      <c r="B144" s="25">
        <v>45663.5</v>
      </c>
      <c r="C144" s="27">
        <v>96.318250066969128</v>
      </c>
      <c r="D144" s="27">
        <v>37.326055075327552</v>
      </c>
      <c r="E144" s="27">
        <v>879.70541544596358</v>
      </c>
      <c r="F144" s="27">
        <v>1121.4016666666666</v>
      </c>
      <c r="G144" s="27">
        <v>1780</v>
      </c>
      <c r="H144" s="27">
        <v>635.69083333333333</v>
      </c>
      <c r="I144" s="27">
        <v>288.88638888888892</v>
      </c>
    </row>
    <row r="145" spans="1:9" x14ac:dyDescent="0.2">
      <c r="A145" s="23">
        <v>45663.541666666664</v>
      </c>
      <c r="B145" s="25">
        <v>45663.541666666664</v>
      </c>
      <c r="C145" s="27">
        <v>0</v>
      </c>
      <c r="D145" s="27">
        <v>0</v>
      </c>
      <c r="E145" s="27">
        <v>879.9000244140625</v>
      </c>
      <c r="F145" s="27">
        <v>0</v>
      </c>
      <c r="G145" s="27">
        <v>1780</v>
      </c>
      <c r="H145" s="27">
        <v>639.78944444444448</v>
      </c>
      <c r="I145" s="27">
        <v>0</v>
      </c>
    </row>
    <row r="146" spans="1:9" x14ac:dyDescent="0.2">
      <c r="A146" s="23">
        <v>45663.583333333336</v>
      </c>
      <c r="B146" s="25">
        <v>45663.583333333336</v>
      </c>
      <c r="C146" s="27">
        <v>144.08200004577637</v>
      </c>
      <c r="D146" s="27">
        <v>54.328971525894268</v>
      </c>
      <c r="E146" s="27">
        <v>880.342950998942</v>
      </c>
      <c r="F146" s="27">
        <v>1630.6936111111111</v>
      </c>
      <c r="G146" s="27">
        <v>1780</v>
      </c>
      <c r="H146" s="27">
        <v>638.14638888888885</v>
      </c>
      <c r="I146" s="27">
        <v>420.95305555555558</v>
      </c>
    </row>
    <row r="147" spans="1:9" x14ac:dyDescent="0.2">
      <c r="A147" s="23">
        <v>45663.625</v>
      </c>
      <c r="B147" s="25">
        <v>45663.625</v>
      </c>
      <c r="C147" s="27">
        <v>149.55111107296415</v>
      </c>
      <c r="D147" s="27">
        <v>56.878582601547244</v>
      </c>
      <c r="E147" s="27">
        <v>881.35635158962668</v>
      </c>
      <c r="F147" s="27">
        <v>1707.3313888888888</v>
      </c>
      <c r="G147" s="27">
        <v>1780</v>
      </c>
      <c r="H147" s="27">
        <v>634.67166666666662</v>
      </c>
      <c r="I147" s="27">
        <v>440.10083333333336</v>
      </c>
    </row>
    <row r="148" spans="1:9" x14ac:dyDescent="0.2">
      <c r="A148" s="23">
        <v>45663.666666666664</v>
      </c>
      <c r="B148" s="25">
        <v>45663.666666666664</v>
      </c>
      <c r="C148" s="27">
        <v>64.301249961853031</v>
      </c>
      <c r="D148" s="27">
        <v>24.966860792421631</v>
      </c>
      <c r="E148" s="27">
        <v>881.91188001844614</v>
      </c>
      <c r="F148" s="27">
        <v>749.4</v>
      </c>
      <c r="G148" s="27">
        <v>1780</v>
      </c>
      <c r="H148" s="27">
        <v>635.50055555555559</v>
      </c>
      <c r="I148" s="27">
        <v>193.32138888888889</v>
      </c>
    </row>
    <row r="149" spans="1:9" x14ac:dyDescent="0.2">
      <c r="A149" s="23">
        <v>45663.708333333336</v>
      </c>
      <c r="B149" s="25">
        <v>45663.708333333336</v>
      </c>
      <c r="C149" s="27">
        <v>73.483861088222923</v>
      </c>
      <c r="D149" s="27">
        <v>28.678138519922893</v>
      </c>
      <c r="E149" s="27">
        <v>882.62970370822484</v>
      </c>
      <c r="F149" s="27">
        <v>861.32583333333332</v>
      </c>
      <c r="G149" s="27">
        <v>1780</v>
      </c>
      <c r="H149" s="27">
        <v>634.1294444444444</v>
      </c>
      <c r="I149" s="27">
        <v>222.11944444444444</v>
      </c>
    </row>
    <row r="150" spans="1:9" x14ac:dyDescent="0.2">
      <c r="A150" s="23">
        <v>45663.75</v>
      </c>
      <c r="B150" s="25">
        <v>45663.75</v>
      </c>
      <c r="C150" s="27">
        <v>75.549583413865832</v>
      </c>
      <c r="D150" s="27">
        <v>31.879971812036302</v>
      </c>
      <c r="E150" s="27">
        <v>883.13867791069879</v>
      </c>
      <c r="F150" s="27">
        <v>956.85555555555561</v>
      </c>
      <c r="G150" s="27">
        <v>1780</v>
      </c>
      <c r="H150" s="27">
        <v>640.58361111111117</v>
      </c>
      <c r="I150" s="27">
        <v>247.29277777777779</v>
      </c>
    </row>
    <row r="151" spans="1:9" x14ac:dyDescent="0.2">
      <c r="A151" s="23">
        <v>45663.791666666664</v>
      </c>
      <c r="B151" s="25">
        <v>45663.791666666664</v>
      </c>
      <c r="C151" s="27">
        <v>11.668944439358182</v>
      </c>
      <c r="D151" s="27">
        <v>4.7369721637169517</v>
      </c>
      <c r="E151" s="27">
        <v>883.33619594997833</v>
      </c>
      <c r="F151" s="27">
        <v>142.21833333333333</v>
      </c>
      <c r="G151" s="27">
        <v>1780</v>
      </c>
      <c r="H151" s="27">
        <v>635.1925</v>
      </c>
      <c r="I151" s="27">
        <v>36.783333333333331</v>
      </c>
    </row>
    <row r="152" spans="1:9" x14ac:dyDescent="0.2">
      <c r="A152" s="23">
        <v>45663.833333333336</v>
      </c>
      <c r="B152" s="25">
        <v>45663.833333333336</v>
      </c>
      <c r="C152" s="27">
        <v>0</v>
      </c>
      <c r="D152" s="27">
        <v>0</v>
      </c>
      <c r="E152" s="27">
        <v>883.4000244140625</v>
      </c>
      <c r="F152" s="27">
        <v>0</v>
      </c>
      <c r="G152" s="27">
        <v>1780</v>
      </c>
      <c r="H152" s="27">
        <v>632.13138888888886</v>
      </c>
      <c r="I152" s="27">
        <v>8.8888888888888889E-3</v>
      </c>
    </row>
    <row r="153" spans="1:9" x14ac:dyDescent="0.2">
      <c r="A153" s="23">
        <v>45663.875</v>
      </c>
      <c r="B153" s="25">
        <v>45663.875</v>
      </c>
      <c r="C153" s="27">
        <v>0</v>
      </c>
      <c r="D153" s="27">
        <v>0</v>
      </c>
      <c r="E153" s="27">
        <v>883.4000244140625</v>
      </c>
      <c r="F153" s="27">
        <v>0</v>
      </c>
      <c r="G153" s="27">
        <v>1780</v>
      </c>
      <c r="H153" s="27">
        <v>632.63861111111112</v>
      </c>
      <c r="I153" s="27">
        <v>0</v>
      </c>
    </row>
    <row r="154" spans="1:9" x14ac:dyDescent="0.2">
      <c r="A154" s="23">
        <v>45663.916666666664</v>
      </c>
      <c r="B154" s="25">
        <v>45663.916666666664</v>
      </c>
      <c r="C154" s="27">
        <v>0</v>
      </c>
      <c r="D154" s="27">
        <v>0</v>
      </c>
      <c r="E154" s="27">
        <v>883.4000244140625</v>
      </c>
      <c r="F154" s="27">
        <v>0</v>
      </c>
      <c r="G154" s="27">
        <v>1780</v>
      </c>
      <c r="H154" s="27">
        <v>633.34888888888884</v>
      </c>
      <c r="I154" s="27">
        <v>4.4444444444444444E-3</v>
      </c>
    </row>
    <row r="155" spans="1:9" x14ac:dyDescent="0.2">
      <c r="A155" s="23">
        <v>45663.958333333336</v>
      </c>
      <c r="B155" s="25">
        <v>45663.958333333336</v>
      </c>
      <c r="C155" s="27">
        <v>0</v>
      </c>
      <c r="D155" s="27">
        <v>0</v>
      </c>
      <c r="E155" s="27">
        <v>883.4000244140625</v>
      </c>
      <c r="F155" s="27">
        <v>0</v>
      </c>
      <c r="G155" s="27">
        <v>1780</v>
      </c>
      <c r="H155" s="27">
        <v>633.10472222222222</v>
      </c>
      <c r="I155" s="27">
        <v>0</v>
      </c>
    </row>
    <row r="156" spans="1:9" x14ac:dyDescent="0.2">
      <c r="A156" s="23">
        <v>45664</v>
      </c>
      <c r="B156" s="25">
        <v>45664</v>
      </c>
      <c r="C156" s="27">
        <v>0</v>
      </c>
      <c r="D156" s="27">
        <v>0</v>
      </c>
      <c r="E156" s="27">
        <v>883.4000244140625</v>
      </c>
      <c r="F156" s="27">
        <v>0</v>
      </c>
      <c r="G156" s="27">
        <v>1780</v>
      </c>
      <c r="H156" s="27">
        <v>635.26916666666671</v>
      </c>
      <c r="I156" s="27">
        <v>4.4444444444444444E-3</v>
      </c>
    </row>
    <row r="157" spans="1:9" x14ac:dyDescent="0.2">
      <c r="A157" s="23">
        <v>45664.041666666664</v>
      </c>
      <c r="B157" s="25">
        <v>45664.041666666664</v>
      </c>
      <c r="C157" s="27">
        <v>0</v>
      </c>
      <c r="D157" s="27">
        <v>0</v>
      </c>
      <c r="E157" s="27">
        <v>883.4000244140625</v>
      </c>
      <c r="F157" s="27">
        <v>0</v>
      </c>
      <c r="G157" s="27">
        <v>1780</v>
      </c>
      <c r="H157" s="27">
        <v>634.92166666666662</v>
      </c>
      <c r="I157" s="27">
        <v>4.4444444444444444E-3</v>
      </c>
    </row>
    <row r="158" spans="1:9" x14ac:dyDescent="0.2">
      <c r="A158" s="23">
        <v>45664.083333333336</v>
      </c>
      <c r="B158" s="25">
        <v>45664.083333333336</v>
      </c>
      <c r="C158" s="27">
        <v>35.644361110263404</v>
      </c>
      <c r="D158" s="27">
        <v>14.016722043024169</v>
      </c>
      <c r="E158" s="27">
        <v>883.42939331054686</v>
      </c>
      <c r="F158" s="27">
        <v>420.68388888888887</v>
      </c>
      <c r="G158" s="27">
        <v>1780</v>
      </c>
      <c r="H158" s="27">
        <v>639.67250000000001</v>
      </c>
      <c r="I158" s="27">
        <v>108.64138888888888</v>
      </c>
    </row>
    <row r="159" spans="1:9" x14ac:dyDescent="0.2">
      <c r="A159" s="23">
        <v>45664.125</v>
      </c>
      <c r="B159" s="25">
        <v>45664.125</v>
      </c>
      <c r="C159" s="27">
        <v>144.52427772945828</v>
      </c>
      <c r="D159" s="27">
        <v>59.283527015050254</v>
      </c>
      <c r="E159" s="27">
        <v>884.15362533569339</v>
      </c>
      <c r="F159" s="27">
        <v>1780</v>
      </c>
      <c r="G159" s="27">
        <v>1780</v>
      </c>
      <c r="H159" s="27">
        <v>644.09333333333336</v>
      </c>
      <c r="I159" s="27">
        <v>460.11750000000001</v>
      </c>
    </row>
    <row r="160" spans="1:9" x14ac:dyDescent="0.2">
      <c r="A160" s="23">
        <v>45664.166666666664</v>
      </c>
      <c r="B160" s="25">
        <v>45664.166666666664</v>
      </c>
      <c r="C160" s="27">
        <v>142.68233336130777</v>
      </c>
      <c r="D160" s="27">
        <v>59.283527015050254</v>
      </c>
      <c r="E160" s="27">
        <v>885.17056971232091</v>
      </c>
      <c r="F160" s="27">
        <v>1779.901111111111</v>
      </c>
      <c r="G160" s="27">
        <v>1780</v>
      </c>
      <c r="H160" s="27">
        <v>645.02583333333337</v>
      </c>
      <c r="I160" s="27">
        <v>460.16333333333336</v>
      </c>
    </row>
    <row r="161" spans="1:9" x14ac:dyDescent="0.2">
      <c r="A161" s="23">
        <v>45664.208333333336</v>
      </c>
      <c r="B161" s="25">
        <v>45664.208333333336</v>
      </c>
      <c r="C161" s="27">
        <v>140.81986111534965</v>
      </c>
      <c r="D161" s="27">
        <v>59.283527015050254</v>
      </c>
      <c r="E161" s="27">
        <v>886.18751408894855</v>
      </c>
      <c r="F161" s="27">
        <v>1779.8091666666667</v>
      </c>
      <c r="G161" s="27">
        <v>1780</v>
      </c>
      <c r="H161" s="27">
        <v>644.79944444444448</v>
      </c>
      <c r="I161" s="27">
        <v>460.02555555555557</v>
      </c>
    </row>
    <row r="162" spans="1:9" x14ac:dyDescent="0.2">
      <c r="A162" s="23">
        <v>45664.25</v>
      </c>
      <c r="B162" s="25">
        <v>45664.25</v>
      </c>
      <c r="C162" s="27">
        <v>2.4349444452921549</v>
      </c>
      <c r="D162" s="27">
        <v>1.0706944306691488</v>
      </c>
      <c r="E162" s="27">
        <v>886.71641098022462</v>
      </c>
      <c r="F162" s="27">
        <v>32.140277777777776</v>
      </c>
      <c r="G162" s="27">
        <v>1780</v>
      </c>
      <c r="H162" s="27">
        <v>638.80583333333334</v>
      </c>
      <c r="I162" s="27">
        <v>8.3113888888888887</v>
      </c>
    </row>
    <row r="163" spans="1:9" x14ac:dyDescent="0.2">
      <c r="A163" s="23">
        <v>45664.291666666664</v>
      </c>
      <c r="B163" s="25">
        <v>45664.291666666664</v>
      </c>
      <c r="C163" s="27">
        <v>16.12869444741143</v>
      </c>
      <c r="D163" s="27">
        <v>6.6943888058927321</v>
      </c>
      <c r="E163" s="27">
        <v>886.76925918579104</v>
      </c>
      <c r="F163" s="27">
        <v>200.94083333333333</v>
      </c>
      <c r="G163" s="27">
        <v>1780</v>
      </c>
      <c r="H163" s="27">
        <v>637.26583333333338</v>
      </c>
      <c r="I163" s="27">
        <v>51.977222222222224</v>
      </c>
    </row>
    <row r="164" spans="1:9" x14ac:dyDescent="0.2">
      <c r="A164" s="23">
        <v>45664.333333333336</v>
      </c>
      <c r="B164" s="25">
        <v>45664.333333333336</v>
      </c>
      <c r="C164" s="27">
        <v>0</v>
      </c>
      <c r="D164" s="27">
        <v>0</v>
      </c>
      <c r="E164" s="27">
        <v>886.83331298828125</v>
      </c>
      <c r="F164" s="27">
        <v>0</v>
      </c>
      <c r="G164" s="27">
        <v>1780</v>
      </c>
      <c r="H164" s="27">
        <v>632.75166666666667</v>
      </c>
      <c r="I164" s="27">
        <v>1.3333333333333334E-2</v>
      </c>
    </row>
    <row r="165" spans="1:9" x14ac:dyDescent="0.2">
      <c r="A165" s="23">
        <v>45664.375</v>
      </c>
      <c r="B165" s="25">
        <v>45664.375</v>
      </c>
      <c r="C165" s="27">
        <v>0</v>
      </c>
      <c r="D165" s="27">
        <v>0</v>
      </c>
      <c r="E165" s="27">
        <v>886.83331298828125</v>
      </c>
      <c r="F165" s="27">
        <v>0</v>
      </c>
      <c r="G165" s="27">
        <v>1780</v>
      </c>
      <c r="H165" s="27">
        <v>632.995</v>
      </c>
      <c r="I165" s="27">
        <v>4.4444444444444444E-3</v>
      </c>
    </row>
    <row r="166" spans="1:9" x14ac:dyDescent="0.2">
      <c r="A166" s="23">
        <v>45664.416666666664</v>
      </c>
      <c r="B166" s="25">
        <v>45664.416666666664</v>
      </c>
      <c r="C166" s="27">
        <v>0</v>
      </c>
      <c r="D166" s="27">
        <v>0</v>
      </c>
      <c r="E166" s="27">
        <v>886.83331298828125</v>
      </c>
      <c r="F166" s="27">
        <v>0</v>
      </c>
      <c r="G166" s="27">
        <v>1780</v>
      </c>
      <c r="H166" s="27">
        <v>258.51138888888892</v>
      </c>
      <c r="I166" s="27">
        <v>0</v>
      </c>
    </row>
    <row r="167" spans="1:9" x14ac:dyDescent="0.2">
      <c r="A167" s="23">
        <v>45664.458333333336</v>
      </c>
      <c r="B167" s="25">
        <v>45664.458333333336</v>
      </c>
      <c r="C167" s="27">
        <v>0</v>
      </c>
      <c r="D167" s="27">
        <v>0</v>
      </c>
      <c r="E167" s="27">
        <v>886.83331298828125</v>
      </c>
      <c r="F167" s="27">
        <v>0</v>
      </c>
      <c r="G167" s="27">
        <v>1780</v>
      </c>
      <c r="H167" s="27">
        <v>80</v>
      </c>
      <c r="I167" s="27">
        <v>0</v>
      </c>
    </row>
    <row r="168" spans="1:9" x14ac:dyDescent="0.2">
      <c r="A168" s="23">
        <v>45664.5</v>
      </c>
      <c r="B168" s="25">
        <v>45664.5</v>
      </c>
      <c r="C168" s="27">
        <v>0</v>
      </c>
      <c r="D168" s="27">
        <v>0</v>
      </c>
      <c r="E168" s="27">
        <v>886.83331298828125</v>
      </c>
      <c r="F168" s="27">
        <v>0</v>
      </c>
      <c r="G168" s="27">
        <v>1780</v>
      </c>
      <c r="H168" s="27">
        <v>80</v>
      </c>
      <c r="I168" s="27">
        <v>0</v>
      </c>
    </row>
    <row r="169" spans="1:9" x14ac:dyDescent="0.2">
      <c r="A169" s="23">
        <v>45664.541666666664</v>
      </c>
      <c r="B169" s="25">
        <v>45664.541666666664</v>
      </c>
      <c r="C169" s="27">
        <v>0</v>
      </c>
      <c r="D169" s="27">
        <v>0</v>
      </c>
      <c r="E169" s="27">
        <v>886.83331298828125</v>
      </c>
      <c r="F169" s="27">
        <v>0</v>
      </c>
      <c r="G169" s="27">
        <v>1780</v>
      </c>
      <c r="H169" s="27">
        <v>80</v>
      </c>
      <c r="I169" s="27">
        <v>0</v>
      </c>
    </row>
    <row r="170" spans="1:9" x14ac:dyDescent="0.2">
      <c r="A170" s="23">
        <v>45664.583333333336</v>
      </c>
      <c r="B170" s="25">
        <v>45664.583333333336</v>
      </c>
      <c r="C170" s="27">
        <v>0</v>
      </c>
      <c r="D170" s="27">
        <v>0</v>
      </c>
      <c r="E170" s="27">
        <v>886.83331298828125</v>
      </c>
      <c r="F170" s="27">
        <v>0</v>
      </c>
      <c r="G170" s="27">
        <v>1780</v>
      </c>
      <c r="H170" s="27">
        <v>80</v>
      </c>
      <c r="I170" s="27">
        <v>0</v>
      </c>
    </row>
    <row r="171" spans="1:9" x14ac:dyDescent="0.2">
      <c r="A171" s="23">
        <v>45664.625</v>
      </c>
      <c r="B171" s="25">
        <v>45664.625</v>
      </c>
      <c r="C171" s="27">
        <v>0</v>
      </c>
      <c r="D171" s="27">
        <v>0</v>
      </c>
      <c r="E171" s="27">
        <v>886.83331298828125</v>
      </c>
      <c r="F171" s="27">
        <v>0</v>
      </c>
      <c r="G171" s="27">
        <v>1780</v>
      </c>
      <c r="H171" s="27">
        <v>80</v>
      </c>
      <c r="I171" s="27">
        <v>0</v>
      </c>
    </row>
    <row r="172" spans="1:9" x14ac:dyDescent="0.2">
      <c r="A172" s="23">
        <v>45664.666666666664</v>
      </c>
      <c r="B172" s="25">
        <v>45664.666666666664</v>
      </c>
      <c r="C172" s="27">
        <v>0</v>
      </c>
      <c r="D172" s="27">
        <v>0</v>
      </c>
      <c r="E172" s="27">
        <v>886.83331298828125</v>
      </c>
      <c r="F172" s="27">
        <v>0</v>
      </c>
      <c r="G172" s="27">
        <v>1780</v>
      </c>
      <c r="H172" s="27">
        <v>80</v>
      </c>
      <c r="I172" s="27">
        <v>0</v>
      </c>
    </row>
    <row r="173" spans="1:9" x14ac:dyDescent="0.2">
      <c r="A173" s="23">
        <v>45664.708333333336</v>
      </c>
      <c r="B173" s="25">
        <v>45664.708333333336</v>
      </c>
      <c r="C173" s="27">
        <v>0</v>
      </c>
      <c r="D173" s="27">
        <v>0</v>
      </c>
      <c r="E173" s="27">
        <v>886.83331298828125</v>
      </c>
      <c r="F173" s="27">
        <v>0</v>
      </c>
      <c r="G173" s="27">
        <v>1780</v>
      </c>
      <c r="H173" s="27">
        <v>134.095</v>
      </c>
      <c r="I173" s="27">
        <v>0</v>
      </c>
    </row>
    <row r="174" spans="1:9" x14ac:dyDescent="0.2">
      <c r="A174" s="23">
        <v>45664.75</v>
      </c>
      <c r="B174" s="25">
        <v>45664.75</v>
      </c>
      <c r="C174" s="27">
        <v>0</v>
      </c>
      <c r="D174" s="27">
        <v>0</v>
      </c>
      <c r="E174" s="27">
        <v>886.83331298828125</v>
      </c>
      <c r="F174" s="27">
        <v>0</v>
      </c>
      <c r="G174" s="27">
        <v>1780</v>
      </c>
      <c r="H174" s="27">
        <v>636.16166666666663</v>
      </c>
      <c r="I174" s="27">
        <v>0</v>
      </c>
    </row>
    <row r="175" spans="1:9" x14ac:dyDescent="0.2">
      <c r="A175" s="23">
        <v>45664.791666666664</v>
      </c>
      <c r="B175" s="25">
        <v>45664.791666666664</v>
      </c>
      <c r="C175" s="27">
        <v>0</v>
      </c>
      <c r="D175" s="27">
        <v>0</v>
      </c>
      <c r="E175" s="27">
        <v>886.83331298828125</v>
      </c>
      <c r="F175" s="27">
        <v>0</v>
      </c>
      <c r="G175" s="27">
        <v>1780</v>
      </c>
      <c r="H175" s="27">
        <v>631.80472222222227</v>
      </c>
      <c r="I175" s="27">
        <v>8.8888888888888889E-3</v>
      </c>
    </row>
    <row r="176" spans="1:9" x14ac:dyDescent="0.2">
      <c r="A176" s="23">
        <v>45664.833333333336</v>
      </c>
      <c r="B176" s="25">
        <v>45664.833333333336</v>
      </c>
      <c r="C176" s="27">
        <v>0</v>
      </c>
      <c r="D176" s="27">
        <v>0</v>
      </c>
      <c r="E176" s="27">
        <v>886.83331298828125</v>
      </c>
      <c r="F176" s="27">
        <v>0</v>
      </c>
      <c r="G176" s="27">
        <v>1780</v>
      </c>
      <c r="H176" s="27">
        <v>637.47277777777776</v>
      </c>
      <c r="I176" s="27">
        <v>8.8888888888888889E-3</v>
      </c>
    </row>
    <row r="177" spans="1:9" x14ac:dyDescent="0.2">
      <c r="A177" s="23">
        <v>45664.875</v>
      </c>
      <c r="B177" s="25">
        <v>45664.875</v>
      </c>
      <c r="C177" s="27">
        <v>0</v>
      </c>
      <c r="D177" s="27">
        <v>0</v>
      </c>
      <c r="E177" s="27">
        <v>886.83331298828125</v>
      </c>
      <c r="F177" s="27">
        <v>0</v>
      </c>
      <c r="G177" s="27">
        <v>1780</v>
      </c>
      <c r="H177" s="27">
        <v>633.54</v>
      </c>
      <c r="I177" s="27">
        <v>4.4444444444444444E-3</v>
      </c>
    </row>
    <row r="178" spans="1:9" x14ac:dyDescent="0.2">
      <c r="A178" s="23">
        <v>45664.916666666664</v>
      </c>
      <c r="B178" s="25">
        <v>45664.916666666664</v>
      </c>
      <c r="C178" s="27">
        <v>0</v>
      </c>
      <c r="D178" s="27">
        <v>0</v>
      </c>
      <c r="E178" s="27">
        <v>886.83331298828125</v>
      </c>
      <c r="F178" s="27">
        <v>0</v>
      </c>
      <c r="G178" s="27">
        <v>1780</v>
      </c>
      <c r="H178" s="27">
        <v>635.19277777777779</v>
      </c>
      <c r="I178" s="27">
        <v>0</v>
      </c>
    </row>
    <row r="179" spans="1:9" x14ac:dyDescent="0.2">
      <c r="A179" s="23">
        <v>45664.958333333336</v>
      </c>
      <c r="B179" s="25">
        <v>45664.958333333336</v>
      </c>
      <c r="C179" s="27">
        <v>77.722388907538516</v>
      </c>
      <c r="D179" s="27">
        <v>28.666582964393829</v>
      </c>
      <c r="E179" s="27">
        <v>886.99360053168402</v>
      </c>
      <c r="F179" s="27">
        <v>860.43166666666662</v>
      </c>
      <c r="G179" s="27">
        <v>1780</v>
      </c>
      <c r="H179" s="27">
        <v>638.31333333333339</v>
      </c>
      <c r="I179" s="27">
        <v>222.2188888888889</v>
      </c>
    </row>
    <row r="180" spans="1:9" x14ac:dyDescent="0.2">
      <c r="A180" s="23">
        <v>45665</v>
      </c>
      <c r="B180" s="25">
        <v>45665</v>
      </c>
      <c r="C180" s="27">
        <v>81.099638888041184</v>
      </c>
      <c r="D180" s="27">
        <v>30.112749614384438</v>
      </c>
      <c r="E180" s="27">
        <v>887.46277686225039</v>
      </c>
      <c r="F180" s="27">
        <v>903.84222222222218</v>
      </c>
      <c r="G180" s="27">
        <v>1780</v>
      </c>
      <c r="H180" s="27">
        <v>637.29527777777776</v>
      </c>
      <c r="I180" s="27">
        <v>233.1825</v>
      </c>
    </row>
    <row r="181" spans="1:9" x14ac:dyDescent="0.2">
      <c r="A181" s="23">
        <v>45665.041666666664</v>
      </c>
      <c r="B181" s="25">
        <v>45665.041666666664</v>
      </c>
      <c r="C181" s="27">
        <v>130.24894440121122</v>
      </c>
      <c r="D181" s="27">
        <v>48.308999379691151</v>
      </c>
      <c r="E181" s="27">
        <v>888.33291273328996</v>
      </c>
      <c r="F181" s="27">
        <v>1450.1888888888889</v>
      </c>
      <c r="G181" s="27">
        <v>1780</v>
      </c>
      <c r="H181" s="27">
        <v>639.37555555555559</v>
      </c>
      <c r="I181" s="27">
        <v>374.45166666666665</v>
      </c>
    </row>
    <row r="182" spans="1:9" x14ac:dyDescent="0.2">
      <c r="A182" s="23">
        <v>45665.083333333336</v>
      </c>
      <c r="B182" s="25">
        <v>45665.083333333336</v>
      </c>
      <c r="C182" s="27">
        <v>23.470666660732693</v>
      </c>
      <c r="D182" s="27">
        <v>9.2573887697855639</v>
      </c>
      <c r="E182" s="27">
        <v>888.83756195068361</v>
      </c>
      <c r="F182" s="27">
        <v>277.91305555555556</v>
      </c>
      <c r="G182" s="27">
        <v>1780</v>
      </c>
      <c r="H182" s="27">
        <v>635.92694444444442</v>
      </c>
      <c r="I182" s="27">
        <v>71.784166666666664</v>
      </c>
    </row>
    <row r="183" spans="1:9" x14ac:dyDescent="0.2">
      <c r="A183" s="23">
        <v>45665.125</v>
      </c>
      <c r="B183" s="25">
        <v>45665.125</v>
      </c>
      <c r="C183" s="27">
        <v>156.30325005637275</v>
      </c>
      <c r="D183" s="27">
        <v>57.121138156056404</v>
      </c>
      <c r="E183" s="27">
        <v>889.33991158379445</v>
      </c>
      <c r="F183" s="27">
        <v>1715.0147222222222</v>
      </c>
      <c r="G183" s="27">
        <v>1780</v>
      </c>
      <c r="H183" s="27">
        <v>637.85472222222222</v>
      </c>
      <c r="I183" s="27">
        <v>442.55055555555555</v>
      </c>
    </row>
    <row r="184" spans="1:9" x14ac:dyDescent="0.2">
      <c r="A184" s="23">
        <v>45665.166666666664</v>
      </c>
      <c r="B184" s="25">
        <v>45665.166666666664</v>
      </c>
      <c r="C184" s="27">
        <v>127.39808335198296</v>
      </c>
      <c r="D184" s="27">
        <v>46.534193845987318</v>
      </c>
      <c r="E184" s="27">
        <v>890.17961418999562</v>
      </c>
      <c r="F184" s="27">
        <v>1396.7383333333332</v>
      </c>
      <c r="G184" s="27">
        <v>1780</v>
      </c>
      <c r="H184" s="27">
        <v>638.84361111111116</v>
      </c>
      <c r="I184" s="27">
        <v>360.65249999999997</v>
      </c>
    </row>
    <row r="185" spans="1:9" x14ac:dyDescent="0.2">
      <c r="A185" s="23">
        <v>45665.208333333336</v>
      </c>
      <c r="B185" s="25">
        <v>45665.208333333336</v>
      </c>
      <c r="C185" s="27">
        <v>160.24297207302519</v>
      </c>
      <c r="D185" s="27">
        <v>59.299999237060547</v>
      </c>
      <c r="E185" s="27">
        <v>891.15334292941623</v>
      </c>
      <c r="F185" s="27">
        <v>1780</v>
      </c>
      <c r="G185" s="27">
        <v>1780</v>
      </c>
      <c r="H185" s="27">
        <v>639.74138888888888</v>
      </c>
      <c r="I185" s="27">
        <v>459.77222222222224</v>
      </c>
    </row>
    <row r="186" spans="1:9" x14ac:dyDescent="0.2">
      <c r="A186" s="23">
        <v>45665.25</v>
      </c>
      <c r="B186" s="25">
        <v>45665.25</v>
      </c>
      <c r="C186" s="27">
        <v>11.163388879564073</v>
      </c>
      <c r="D186" s="27">
        <v>4.7439999389648442</v>
      </c>
      <c r="E186" s="27">
        <v>891.73059733072921</v>
      </c>
      <c r="F186" s="27">
        <v>142.52166666666668</v>
      </c>
      <c r="G186" s="27">
        <v>1780</v>
      </c>
      <c r="H186" s="27">
        <v>637.59416666666664</v>
      </c>
      <c r="I186" s="27">
        <v>36.833055555555553</v>
      </c>
    </row>
    <row r="187" spans="1:9" x14ac:dyDescent="0.2">
      <c r="A187" s="23">
        <v>45665.291666666664</v>
      </c>
      <c r="B187" s="25">
        <v>45665.291666666664</v>
      </c>
      <c r="C187" s="27">
        <v>119.45611111958821</v>
      </c>
      <c r="D187" s="27">
        <v>43.74486054927111</v>
      </c>
      <c r="E187" s="27">
        <v>892.1920843505859</v>
      </c>
      <c r="F187" s="27">
        <v>1312.8711111111111</v>
      </c>
      <c r="G187" s="27">
        <v>1780</v>
      </c>
      <c r="H187" s="27">
        <v>636.95472222222224</v>
      </c>
      <c r="I187" s="27">
        <v>338.84194444444444</v>
      </c>
    </row>
    <row r="188" spans="1:9" x14ac:dyDescent="0.2">
      <c r="A188" s="23">
        <v>45665.333333333336</v>
      </c>
      <c r="B188" s="25">
        <v>45665.333333333336</v>
      </c>
      <c r="C188" s="27">
        <v>65.062472258673779</v>
      </c>
      <c r="D188" s="27">
        <v>23.611971920596229</v>
      </c>
      <c r="E188" s="27">
        <v>892.56683437771267</v>
      </c>
      <c r="F188" s="27">
        <v>708.70388888888886</v>
      </c>
      <c r="G188" s="27">
        <v>1780</v>
      </c>
      <c r="H188" s="27">
        <v>635.98888888888894</v>
      </c>
      <c r="I188" s="27">
        <v>182.91444444444446</v>
      </c>
    </row>
    <row r="189" spans="1:9" x14ac:dyDescent="0.2">
      <c r="A189" s="23">
        <v>45665.375</v>
      </c>
      <c r="B189" s="25">
        <v>45665.375</v>
      </c>
      <c r="C189" s="27">
        <v>117.95622219085693</v>
      </c>
      <c r="D189" s="27">
        <v>46.797582731246948</v>
      </c>
      <c r="E189" s="27">
        <v>893.38572580973312</v>
      </c>
      <c r="F189" s="27">
        <v>1405.7516666666668</v>
      </c>
      <c r="G189" s="27">
        <v>1780</v>
      </c>
      <c r="H189" s="27">
        <v>640.27027777777778</v>
      </c>
      <c r="I189" s="27">
        <v>363.17611111111108</v>
      </c>
    </row>
    <row r="190" spans="1:9" x14ac:dyDescent="0.2">
      <c r="A190" s="23">
        <v>45665.416666666664</v>
      </c>
      <c r="B190" s="25">
        <v>45665.416666666664</v>
      </c>
      <c r="C190" s="27">
        <v>0</v>
      </c>
      <c r="D190" s="27">
        <v>0</v>
      </c>
      <c r="E190" s="27">
        <v>893.70001220703125</v>
      </c>
      <c r="F190" s="27">
        <v>0</v>
      </c>
      <c r="G190" s="27">
        <v>1780</v>
      </c>
      <c r="H190" s="27">
        <v>633.20666666666671</v>
      </c>
      <c r="I190" s="27">
        <v>4.4444444444444444E-3</v>
      </c>
    </row>
    <row r="191" spans="1:9" x14ac:dyDescent="0.2">
      <c r="A191" s="23">
        <v>45665.458333333336</v>
      </c>
      <c r="B191" s="25">
        <v>45665.458333333336</v>
      </c>
      <c r="C191" s="27">
        <v>17.098611081441245</v>
      </c>
      <c r="D191" s="27">
        <v>7.0728887989785933</v>
      </c>
      <c r="E191" s="27">
        <v>893.70785751342771</v>
      </c>
      <c r="F191" s="27">
        <v>212.25305555555556</v>
      </c>
      <c r="G191" s="27">
        <v>1780</v>
      </c>
      <c r="H191" s="27">
        <v>637.05861111111108</v>
      </c>
      <c r="I191" s="27">
        <v>54.797222222222224</v>
      </c>
    </row>
    <row r="192" spans="1:9" x14ac:dyDescent="0.2">
      <c r="A192" s="23">
        <v>45665.5</v>
      </c>
      <c r="B192" s="25">
        <v>45665.5</v>
      </c>
      <c r="C192" s="27">
        <v>2.9857222323947483</v>
      </c>
      <c r="D192" s="27">
        <v>1.2201388748486837</v>
      </c>
      <c r="E192" s="27">
        <v>893.84970250447589</v>
      </c>
      <c r="F192" s="27">
        <v>36.678055555555552</v>
      </c>
      <c r="G192" s="27">
        <v>1780</v>
      </c>
      <c r="H192" s="27">
        <v>635.88888888888891</v>
      </c>
      <c r="I192" s="27">
        <v>9.5827777777777783</v>
      </c>
    </row>
    <row r="193" spans="1:9" x14ac:dyDescent="0.2">
      <c r="A193" s="23">
        <v>45665.541666666664</v>
      </c>
      <c r="B193" s="25">
        <v>45665.541666666664</v>
      </c>
      <c r="C193" s="27">
        <v>0</v>
      </c>
      <c r="D193" s="27">
        <v>0</v>
      </c>
      <c r="E193" s="27">
        <v>893.8499755859375</v>
      </c>
      <c r="F193" s="27">
        <v>0</v>
      </c>
      <c r="G193" s="27">
        <v>1780</v>
      </c>
      <c r="H193" s="27">
        <v>637.44944444444445</v>
      </c>
      <c r="I193" s="27">
        <v>8.8888888888888889E-3</v>
      </c>
    </row>
    <row r="194" spans="1:9" x14ac:dyDescent="0.2">
      <c r="A194" s="23">
        <v>45665.583333333336</v>
      </c>
      <c r="B194" s="25">
        <v>45665.583333333336</v>
      </c>
      <c r="C194" s="27">
        <v>143.70883327907987</v>
      </c>
      <c r="D194" s="27">
        <v>55.597999286850296</v>
      </c>
      <c r="E194" s="27">
        <v>894.30724468655058</v>
      </c>
      <c r="F194" s="27">
        <v>1668.7044444444443</v>
      </c>
      <c r="G194" s="27">
        <v>1780</v>
      </c>
      <c r="H194" s="27">
        <v>643.38555555555558</v>
      </c>
      <c r="I194" s="27">
        <v>431.42555555555555</v>
      </c>
    </row>
    <row r="195" spans="1:9" x14ac:dyDescent="0.2">
      <c r="A195" s="23">
        <v>45665.625</v>
      </c>
      <c r="B195" s="25">
        <v>45665.625</v>
      </c>
      <c r="C195" s="27">
        <v>132.49499998728433</v>
      </c>
      <c r="D195" s="27">
        <v>53.040554873148601</v>
      </c>
      <c r="E195" s="27">
        <v>895.31664923773872</v>
      </c>
      <c r="F195" s="27">
        <v>1592.6141666666667</v>
      </c>
      <c r="G195" s="27">
        <v>1780</v>
      </c>
      <c r="H195" s="27">
        <v>641.45527777777772</v>
      </c>
      <c r="I195" s="27">
        <v>411.43944444444446</v>
      </c>
    </row>
    <row r="196" spans="1:9" x14ac:dyDescent="0.2">
      <c r="A196" s="23">
        <v>45665.666666666664</v>
      </c>
      <c r="B196" s="25">
        <v>45665.666666666664</v>
      </c>
      <c r="C196" s="27">
        <v>27.069527793884692</v>
      </c>
      <c r="D196" s="27">
        <v>10.648249865161876</v>
      </c>
      <c r="E196" s="27">
        <v>895.73497331407339</v>
      </c>
      <c r="F196" s="27">
        <v>320.08472222222224</v>
      </c>
      <c r="G196" s="27">
        <v>1780</v>
      </c>
      <c r="H196" s="27">
        <v>641.27111111111117</v>
      </c>
      <c r="I196" s="27">
        <v>82.54805555555555</v>
      </c>
    </row>
    <row r="197" spans="1:9" x14ac:dyDescent="0.2">
      <c r="A197" s="23">
        <v>45665.708333333336</v>
      </c>
      <c r="B197" s="25">
        <v>45665.708333333336</v>
      </c>
      <c r="C197" s="27">
        <v>149.64808345370824</v>
      </c>
      <c r="D197" s="27">
        <v>59.283527015050254</v>
      </c>
      <c r="E197" s="27">
        <v>896.42417156643342</v>
      </c>
      <c r="F197" s="27">
        <v>1780</v>
      </c>
      <c r="G197" s="27">
        <v>1780</v>
      </c>
      <c r="H197" s="27">
        <v>644.05277777777781</v>
      </c>
      <c r="I197" s="27">
        <v>460.02833333333331</v>
      </c>
    </row>
    <row r="198" spans="1:9" x14ac:dyDescent="0.2">
      <c r="A198" s="23">
        <v>45665.75</v>
      </c>
      <c r="B198" s="25">
        <v>45665.75</v>
      </c>
      <c r="C198" s="27">
        <v>133.82977784686619</v>
      </c>
      <c r="D198" s="27">
        <v>59.283527015050254</v>
      </c>
      <c r="E198" s="27">
        <v>897.44111594306094</v>
      </c>
      <c r="F198" s="27">
        <v>1779.8172222222222</v>
      </c>
      <c r="G198" s="27">
        <v>1780</v>
      </c>
      <c r="H198" s="27">
        <v>643.79555555555555</v>
      </c>
      <c r="I198" s="27">
        <v>460.10833333333335</v>
      </c>
    </row>
    <row r="199" spans="1:9" x14ac:dyDescent="0.2">
      <c r="A199" s="23">
        <v>45665.791666666664</v>
      </c>
      <c r="B199" s="25">
        <v>45665.791666666664</v>
      </c>
      <c r="C199" s="27">
        <v>32.734305549197728</v>
      </c>
      <c r="D199" s="27">
        <v>17.716194218397142</v>
      </c>
      <c r="E199" s="27">
        <v>898.21536404079859</v>
      </c>
      <c r="F199" s="27">
        <v>532.13166666666666</v>
      </c>
      <c r="G199" s="27">
        <v>1780</v>
      </c>
      <c r="H199" s="27">
        <v>638.71388888888885</v>
      </c>
      <c r="I199" s="27">
        <v>137.39611111111111</v>
      </c>
    </row>
    <row r="200" spans="1:9" x14ac:dyDescent="0.2">
      <c r="A200" s="23">
        <v>45665.833333333336</v>
      </c>
      <c r="B200" s="25">
        <v>45665.833333333336</v>
      </c>
      <c r="C200" s="27">
        <v>0</v>
      </c>
      <c r="D200" s="27">
        <v>0</v>
      </c>
      <c r="E200" s="27">
        <v>898.26666259765625</v>
      </c>
      <c r="F200" s="27">
        <v>0</v>
      </c>
      <c r="G200" s="27">
        <v>1780</v>
      </c>
      <c r="H200" s="27">
        <v>634.03250000000003</v>
      </c>
      <c r="I200" s="27">
        <v>0</v>
      </c>
    </row>
    <row r="201" spans="1:9" x14ac:dyDescent="0.2">
      <c r="A201" s="23">
        <v>45665.875</v>
      </c>
      <c r="B201" s="25">
        <v>45665.875</v>
      </c>
      <c r="C201" s="27">
        <v>98.15652774896887</v>
      </c>
      <c r="D201" s="27">
        <v>50.941388234032523</v>
      </c>
      <c r="E201" s="27">
        <v>898.63774334377717</v>
      </c>
      <c r="F201" s="27">
        <v>1528.8594444444445</v>
      </c>
      <c r="G201" s="27">
        <v>1780</v>
      </c>
      <c r="H201" s="27">
        <v>642.14583333333337</v>
      </c>
      <c r="I201" s="27">
        <v>395.27083333333331</v>
      </c>
    </row>
    <row r="202" spans="1:9" x14ac:dyDescent="0.2">
      <c r="A202" s="23">
        <v>45665.916666666664</v>
      </c>
      <c r="B202" s="25">
        <v>45665.916666666664</v>
      </c>
      <c r="C202" s="27">
        <v>13.474666654798719</v>
      </c>
      <c r="D202" s="27">
        <v>7.5607499027252194</v>
      </c>
      <c r="E202" s="27">
        <v>899.25891911824544</v>
      </c>
      <c r="F202" s="27">
        <v>227.44472222222223</v>
      </c>
      <c r="G202" s="27">
        <v>1780</v>
      </c>
      <c r="H202" s="27">
        <v>640.10805555555555</v>
      </c>
      <c r="I202" s="27">
        <v>58.686944444444443</v>
      </c>
    </row>
    <row r="203" spans="1:9" x14ac:dyDescent="0.2">
      <c r="A203" s="23">
        <v>45665.958333333336</v>
      </c>
      <c r="B203" s="25">
        <v>45665.958333333336</v>
      </c>
      <c r="C203" s="27">
        <v>95.448361153072781</v>
      </c>
      <c r="D203" s="27">
        <v>51.130360455711681</v>
      </c>
      <c r="E203" s="27">
        <v>899.72607952541773</v>
      </c>
      <c r="F203" s="27">
        <v>1534.5438888888889</v>
      </c>
      <c r="G203" s="27">
        <v>1780</v>
      </c>
      <c r="H203" s="27">
        <v>644.13861111111112</v>
      </c>
      <c r="I203" s="27">
        <v>396.63555555555558</v>
      </c>
    </row>
    <row r="204" spans="1:9" x14ac:dyDescent="0.2">
      <c r="A204" s="23">
        <v>45666</v>
      </c>
      <c r="B204" s="25">
        <v>45666</v>
      </c>
      <c r="C204" s="27">
        <v>0</v>
      </c>
      <c r="D204" s="27">
        <v>0</v>
      </c>
      <c r="E204" s="27">
        <v>900.1500244140625</v>
      </c>
      <c r="F204" s="27">
        <v>0</v>
      </c>
      <c r="G204" s="27">
        <v>1780</v>
      </c>
      <c r="H204" s="27">
        <v>633.8127777777778</v>
      </c>
      <c r="I204" s="27">
        <v>0</v>
      </c>
    </row>
    <row r="205" spans="1:9" x14ac:dyDescent="0.2">
      <c r="A205" s="23">
        <v>45666.041666666664</v>
      </c>
      <c r="B205" s="25">
        <v>45666.041666666664</v>
      </c>
      <c r="C205" s="27">
        <v>0</v>
      </c>
      <c r="D205" s="27">
        <v>0</v>
      </c>
      <c r="E205" s="27">
        <v>900.1500244140625</v>
      </c>
      <c r="F205" s="27">
        <v>0</v>
      </c>
      <c r="G205" s="27">
        <v>1780</v>
      </c>
      <c r="H205" s="27">
        <v>639.8994444444445</v>
      </c>
      <c r="I205" s="27">
        <v>4.4444444444444444E-3</v>
      </c>
    </row>
    <row r="206" spans="1:9" x14ac:dyDescent="0.2">
      <c r="A206" s="23">
        <v>45666.083333333336</v>
      </c>
      <c r="B206" s="25">
        <v>45666.083333333336</v>
      </c>
      <c r="C206" s="27">
        <v>0</v>
      </c>
      <c r="D206" s="27">
        <v>0</v>
      </c>
      <c r="E206" s="27">
        <v>900.1500244140625</v>
      </c>
      <c r="F206" s="27">
        <v>0</v>
      </c>
      <c r="G206" s="27">
        <v>1780</v>
      </c>
      <c r="H206" s="27">
        <v>637.60888888888894</v>
      </c>
      <c r="I206" s="27">
        <v>4.4444444444444444E-3</v>
      </c>
    </row>
    <row r="207" spans="1:9" x14ac:dyDescent="0.2">
      <c r="A207" s="23">
        <v>45666.125</v>
      </c>
      <c r="B207" s="25">
        <v>45666.125</v>
      </c>
      <c r="C207" s="27">
        <v>0</v>
      </c>
      <c r="D207" s="27">
        <v>0</v>
      </c>
      <c r="E207" s="27">
        <v>900.1500244140625</v>
      </c>
      <c r="F207" s="27">
        <v>0</v>
      </c>
      <c r="G207" s="27">
        <v>1780</v>
      </c>
      <c r="H207" s="27">
        <v>640.89083333333338</v>
      </c>
      <c r="I207" s="27">
        <v>0</v>
      </c>
    </row>
    <row r="208" spans="1:9" x14ac:dyDescent="0.2">
      <c r="A208" s="23">
        <v>45666.166666666664</v>
      </c>
      <c r="B208" s="25">
        <v>45666.166666666664</v>
      </c>
      <c r="C208" s="27">
        <v>0</v>
      </c>
      <c r="D208" s="27">
        <v>0</v>
      </c>
      <c r="E208" s="27">
        <v>900.1500244140625</v>
      </c>
      <c r="F208" s="27">
        <v>0</v>
      </c>
      <c r="G208" s="27">
        <v>1780</v>
      </c>
      <c r="H208" s="27">
        <v>637.84444444444443</v>
      </c>
      <c r="I208" s="27">
        <v>4.4444444444444444E-3</v>
      </c>
    </row>
    <row r="209" spans="1:9" x14ac:dyDescent="0.2">
      <c r="A209" s="23">
        <v>45666.208333333336</v>
      </c>
      <c r="B209" s="25">
        <v>45666.208333333336</v>
      </c>
      <c r="C209" s="27">
        <v>0</v>
      </c>
      <c r="D209" s="27">
        <v>0</v>
      </c>
      <c r="E209" s="27">
        <v>900.1500244140625</v>
      </c>
      <c r="F209" s="27">
        <v>0</v>
      </c>
      <c r="G209" s="27">
        <v>1780</v>
      </c>
      <c r="H209" s="27">
        <v>639.01583333333338</v>
      </c>
      <c r="I209" s="27">
        <v>0</v>
      </c>
    </row>
    <row r="210" spans="1:9" x14ac:dyDescent="0.2">
      <c r="A210" s="23">
        <v>45666.25</v>
      </c>
      <c r="B210" s="25">
        <v>45666.25</v>
      </c>
      <c r="C210" s="27">
        <v>0</v>
      </c>
      <c r="D210" s="27">
        <v>0</v>
      </c>
      <c r="E210" s="27">
        <v>900.1500244140625</v>
      </c>
      <c r="F210" s="27">
        <v>0</v>
      </c>
      <c r="G210" s="27">
        <v>1780</v>
      </c>
      <c r="H210" s="27">
        <v>636.81416666666667</v>
      </c>
      <c r="I210" s="27">
        <v>0</v>
      </c>
    </row>
    <row r="211" spans="1:9" x14ac:dyDescent="0.2">
      <c r="A211" s="23">
        <v>45666.291666666664</v>
      </c>
      <c r="B211" s="25">
        <v>45666.291666666664</v>
      </c>
      <c r="C211" s="27">
        <v>0</v>
      </c>
      <c r="D211" s="27">
        <v>0</v>
      </c>
      <c r="E211" s="27">
        <v>900.1500244140625</v>
      </c>
      <c r="F211" s="27">
        <v>0</v>
      </c>
      <c r="G211" s="27">
        <v>1780</v>
      </c>
      <c r="H211" s="27">
        <v>634.51583333333338</v>
      </c>
      <c r="I211" s="27">
        <v>0</v>
      </c>
    </row>
    <row r="212" spans="1:9" x14ac:dyDescent="0.2">
      <c r="A212" s="23">
        <v>45666.333333333336</v>
      </c>
      <c r="B212" s="25">
        <v>45666.333333333336</v>
      </c>
      <c r="C212" s="27">
        <v>0</v>
      </c>
      <c r="D212" s="27">
        <v>0</v>
      </c>
      <c r="E212" s="27">
        <v>900.1500244140625</v>
      </c>
      <c r="F212" s="27">
        <v>0</v>
      </c>
      <c r="G212" s="27">
        <v>1780</v>
      </c>
      <c r="H212" s="27">
        <v>635.39611111111117</v>
      </c>
      <c r="I212" s="27">
        <v>0</v>
      </c>
    </row>
    <row r="213" spans="1:9" x14ac:dyDescent="0.2">
      <c r="A213" s="23">
        <v>45666.375</v>
      </c>
      <c r="B213" s="25">
        <v>45666.375</v>
      </c>
      <c r="C213" s="27">
        <v>0</v>
      </c>
      <c r="D213" s="27">
        <v>0</v>
      </c>
      <c r="E213" s="27">
        <v>900.1500244140625</v>
      </c>
      <c r="F213" s="27">
        <v>0</v>
      </c>
      <c r="G213" s="27">
        <v>1780</v>
      </c>
      <c r="H213" s="27">
        <v>634.62277777777774</v>
      </c>
      <c r="I213" s="27">
        <v>8.8888888888888889E-3</v>
      </c>
    </row>
    <row r="214" spans="1:9" x14ac:dyDescent="0.2">
      <c r="A214" s="23">
        <v>45666.416666666664</v>
      </c>
      <c r="B214" s="25">
        <v>45666.416666666664</v>
      </c>
      <c r="C214" s="27">
        <v>0</v>
      </c>
      <c r="D214" s="27">
        <v>0</v>
      </c>
      <c r="E214" s="27">
        <v>900.1500244140625</v>
      </c>
      <c r="F214" s="27">
        <v>0</v>
      </c>
      <c r="G214" s="27">
        <v>1780</v>
      </c>
      <c r="H214" s="27">
        <v>634.02027777777778</v>
      </c>
      <c r="I214" s="27">
        <v>0</v>
      </c>
    </row>
    <row r="215" spans="1:9" x14ac:dyDescent="0.2">
      <c r="A215" s="23">
        <v>45666.458333333336</v>
      </c>
      <c r="B215" s="25">
        <v>45666.458333333336</v>
      </c>
      <c r="C215" s="27">
        <v>0</v>
      </c>
      <c r="D215" s="27">
        <v>0</v>
      </c>
      <c r="E215" s="27">
        <v>900.1500244140625</v>
      </c>
      <c r="F215" s="27">
        <v>0</v>
      </c>
      <c r="G215" s="27">
        <v>1780</v>
      </c>
      <c r="H215" s="27">
        <v>636.76888888888891</v>
      </c>
      <c r="I215" s="27">
        <v>0</v>
      </c>
    </row>
    <row r="216" spans="1:9" x14ac:dyDescent="0.2">
      <c r="A216" s="23">
        <v>45666.5</v>
      </c>
      <c r="B216" s="25">
        <v>45666.5</v>
      </c>
      <c r="C216" s="27">
        <v>0</v>
      </c>
      <c r="D216" s="27">
        <v>0</v>
      </c>
      <c r="E216" s="27">
        <v>900.1500244140625</v>
      </c>
      <c r="F216" s="27">
        <v>0</v>
      </c>
      <c r="G216" s="27">
        <v>1780</v>
      </c>
      <c r="H216" s="27">
        <v>633.98666666666668</v>
      </c>
      <c r="I216" s="27">
        <v>4.4444444444444444E-3</v>
      </c>
    </row>
    <row r="217" spans="1:9" x14ac:dyDescent="0.2">
      <c r="A217" s="23">
        <v>45666.541666666664</v>
      </c>
      <c r="B217" s="25">
        <v>45666.541666666664</v>
      </c>
      <c r="C217" s="27">
        <v>0</v>
      </c>
      <c r="D217" s="27">
        <v>0</v>
      </c>
      <c r="E217" s="27">
        <v>900.1500244140625</v>
      </c>
      <c r="F217" s="27">
        <v>0</v>
      </c>
      <c r="G217" s="27">
        <v>1780</v>
      </c>
      <c r="H217" s="27">
        <v>636.20083333333332</v>
      </c>
      <c r="I217" s="27">
        <v>4.4444444444444444E-3</v>
      </c>
    </row>
    <row r="218" spans="1:9" x14ac:dyDescent="0.2">
      <c r="A218" s="23">
        <v>45666.583333333336</v>
      </c>
      <c r="B218" s="25">
        <v>45666.583333333336</v>
      </c>
      <c r="C218" s="27">
        <v>0</v>
      </c>
      <c r="D218" s="27">
        <v>0</v>
      </c>
      <c r="E218" s="27">
        <v>900.1500244140625</v>
      </c>
      <c r="F218" s="27">
        <v>0</v>
      </c>
      <c r="G218" s="27">
        <v>1780</v>
      </c>
      <c r="H218" s="27">
        <v>635.29305555555561</v>
      </c>
      <c r="I218" s="27">
        <v>8.8888888888888889E-3</v>
      </c>
    </row>
    <row r="219" spans="1:9" x14ac:dyDescent="0.2">
      <c r="A219" s="23">
        <v>45666.625</v>
      </c>
      <c r="B219" s="25">
        <v>45666.625</v>
      </c>
      <c r="C219" s="27">
        <v>0</v>
      </c>
      <c r="D219" s="27">
        <v>0</v>
      </c>
      <c r="E219" s="27">
        <v>900.1500244140625</v>
      </c>
      <c r="F219" s="27">
        <v>0</v>
      </c>
      <c r="G219" s="27">
        <v>1780</v>
      </c>
      <c r="H219" s="27">
        <v>633.52555555555557</v>
      </c>
      <c r="I219" s="27">
        <v>4.4444444444444444E-3</v>
      </c>
    </row>
    <row r="220" spans="1:9" x14ac:dyDescent="0.2">
      <c r="A220" s="23">
        <v>45666.666666666664</v>
      </c>
      <c r="B220" s="25">
        <v>45666.666666666664</v>
      </c>
      <c r="C220" s="27">
        <v>0</v>
      </c>
      <c r="D220" s="27">
        <v>0</v>
      </c>
      <c r="E220" s="27">
        <v>900.1500244140625</v>
      </c>
      <c r="F220" s="27">
        <v>0</v>
      </c>
      <c r="G220" s="27">
        <v>1780</v>
      </c>
      <c r="H220" s="27">
        <v>634.8508333333333</v>
      </c>
      <c r="I220" s="27">
        <v>4.4444444444444444E-3</v>
      </c>
    </row>
    <row r="221" spans="1:9" x14ac:dyDescent="0.2">
      <c r="A221" s="23">
        <v>45666.708333333336</v>
      </c>
      <c r="B221" s="25">
        <v>45666.708333333336</v>
      </c>
      <c r="C221" s="27">
        <v>0</v>
      </c>
      <c r="D221" s="27">
        <v>0</v>
      </c>
      <c r="E221" s="27">
        <v>900.1500244140625</v>
      </c>
      <c r="F221" s="27">
        <v>0</v>
      </c>
      <c r="G221" s="27">
        <v>1780</v>
      </c>
      <c r="H221" s="27">
        <v>638.17361111111109</v>
      </c>
      <c r="I221" s="27">
        <v>0</v>
      </c>
    </row>
    <row r="222" spans="1:9" x14ac:dyDescent="0.2">
      <c r="A222" s="23">
        <v>45666.75</v>
      </c>
      <c r="B222" s="25">
        <v>45666.75</v>
      </c>
      <c r="C222" s="27">
        <v>0</v>
      </c>
      <c r="D222" s="27">
        <v>0</v>
      </c>
      <c r="E222" s="27">
        <v>900.1500244140625</v>
      </c>
      <c r="F222" s="27">
        <v>0</v>
      </c>
      <c r="G222" s="27">
        <v>1780</v>
      </c>
      <c r="H222" s="27">
        <v>636.74111111111108</v>
      </c>
      <c r="I222" s="27">
        <v>0</v>
      </c>
    </row>
    <row r="223" spans="1:9" x14ac:dyDescent="0.2">
      <c r="A223" s="23">
        <v>45666.791666666664</v>
      </c>
      <c r="B223" s="25">
        <v>45666.791666666664</v>
      </c>
      <c r="C223" s="27">
        <v>0</v>
      </c>
      <c r="D223" s="27">
        <v>0</v>
      </c>
      <c r="E223" s="27">
        <v>900.1500244140625</v>
      </c>
      <c r="F223" s="27">
        <v>0</v>
      </c>
      <c r="G223" s="27">
        <v>1780</v>
      </c>
      <c r="H223" s="27">
        <v>636.50194444444446</v>
      </c>
      <c r="I223" s="27">
        <v>0</v>
      </c>
    </row>
    <row r="224" spans="1:9" x14ac:dyDescent="0.2">
      <c r="A224" s="23">
        <v>45666.833333333336</v>
      </c>
      <c r="B224" s="25">
        <v>45666.833333333336</v>
      </c>
      <c r="C224" s="27">
        <v>0</v>
      </c>
      <c r="D224" s="27">
        <v>0</v>
      </c>
      <c r="E224" s="27">
        <v>900.1500244140625</v>
      </c>
      <c r="F224" s="27">
        <v>0</v>
      </c>
      <c r="G224" s="27">
        <v>1780</v>
      </c>
      <c r="H224" s="27">
        <v>632.55916666666667</v>
      </c>
      <c r="I224" s="27">
        <v>0</v>
      </c>
    </row>
    <row r="225" spans="1:9" x14ac:dyDescent="0.2">
      <c r="A225" s="23">
        <v>45666.875</v>
      </c>
      <c r="B225" s="25">
        <v>45666.875</v>
      </c>
      <c r="C225" s="27">
        <v>21.979305574629041</v>
      </c>
      <c r="D225" s="27">
        <v>10.425388754341338</v>
      </c>
      <c r="E225" s="27">
        <v>900.16529846191406</v>
      </c>
      <c r="F225" s="27">
        <v>312.6827777777778</v>
      </c>
      <c r="G225" s="27">
        <v>1780</v>
      </c>
      <c r="H225" s="27">
        <v>634.72888888888883</v>
      </c>
      <c r="I225" s="27">
        <v>80.729166666666671</v>
      </c>
    </row>
    <row r="226" spans="1:9" x14ac:dyDescent="0.2">
      <c r="A226" s="23">
        <v>45666.916666666664</v>
      </c>
      <c r="B226" s="25">
        <v>45666.916666666664</v>
      </c>
      <c r="C226" s="27">
        <v>58.922416646745468</v>
      </c>
      <c r="D226" s="27">
        <v>28.048305196894539</v>
      </c>
      <c r="E226" s="27">
        <v>900.67457575480148</v>
      </c>
      <c r="F226" s="27">
        <v>841.91111111111115</v>
      </c>
      <c r="G226" s="27">
        <v>1780</v>
      </c>
      <c r="H226" s="27">
        <v>636.01777777777772</v>
      </c>
      <c r="I226" s="27">
        <v>216.86</v>
      </c>
    </row>
    <row r="227" spans="1:9" x14ac:dyDescent="0.2">
      <c r="A227" s="23">
        <v>45666.958333333336</v>
      </c>
      <c r="B227" s="25">
        <v>45666.958333333336</v>
      </c>
      <c r="C227" s="27">
        <v>21.530805570814344</v>
      </c>
      <c r="D227" s="27">
        <v>12.769833172361055</v>
      </c>
      <c r="E227" s="27">
        <v>900.95416361490891</v>
      </c>
      <c r="F227" s="27">
        <v>383.26777777777778</v>
      </c>
      <c r="G227" s="27">
        <v>1780</v>
      </c>
      <c r="H227" s="27">
        <v>639.98722222222227</v>
      </c>
      <c r="I227" s="27">
        <v>99.021944444444443</v>
      </c>
    </row>
    <row r="228" spans="1:9" x14ac:dyDescent="0.2">
      <c r="A228" s="23">
        <v>45667</v>
      </c>
      <c r="B228" s="25">
        <v>45667</v>
      </c>
      <c r="C228" s="27">
        <v>0</v>
      </c>
      <c r="D228" s="27">
        <v>0</v>
      </c>
      <c r="E228" s="27">
        <v>901.066650390625</v>
      </c>
      <c r="F228" s="27">
        <v>0</v>
      </c>
      <c r="G228" s="27">
        <v>1780</v>
      </c>
      <c r="H228" s="27">
        <v>639.22194444444449</v>
      </c>
      <c r="I228" s="27">
        <v>0</v>
      </c>
    </row>
    <row r="229" spans="1:9" x14ac:dyDescent="0.2">
      <c r="A229" s="23">
        <v>45667.041666666664</v>
      </c>
      <c r="B229" s="25">
        <v>45667.041666666664</v>
      </c>
      <c r="C229" s="27">
        <v>0</v>
      </c>
      <c r="D229" s="27">
        <v>0</v>
      </c>
      <c r="E229" s="27">
        <v>901.066650390625</v>
      </c>
      <c r="F229" s="27">
        <v>0</v>
      </c>
      <c r="G229" s="27">
        <v>1780</v>
      </c>
      <c r="H229" s="27">
        <v>639.54861111111109</v>
      </c>
      <c r="I229" s="27">
        <v>0</v>
      </c>
    </row>
    <row r="230" spans="1:9" x14ac:dyDescent="0.2">
      <c r="A230" s="23">
        <v>45667.083333333336</v>
      </c>
      <c r="B230" s="25">
        <v>45667.083333333336</v>
      </c>
      <c r="C230" s="27">
        <v>0</v>
      </c>
      <c r="D230" s="27">
        <v>0</v>
      </c>
      <c r="E230" s="27">
        <v>901.066650390625</v>
      </c>
      <c r="F230" s="27">
        <v>0</v>
      </c>
      <c r="G230" s="27">
        <v>1780</v>
      </c>
      <c r="H230" s="27">
        <v>639.50972222222219</v>
      </c>
      <c r="I230" s="27">
        <v>0</v>
      </c>
    </row>
    <row r="231" spans="1:9" x14ac:dyDescent="0.2">
      <c r="A231" s="23">
        <v>45667.125</v>
      </c>
      <c r="B231" s="25">
        <v>45667.125</v>
      </c>
      <c r="C231" s="27">
        <v>0</v>
      </c>
      <c r="D231" s="27">
        <v>0</v>
      </c>
      <c r="E231" s="27">
        <v>901.066650390625</v>
      </c>
      <c r="F231" s="27">
        <v>0</v>
      </c>
      <c r="G231" s="27">
        <v>1780</v>
      </c>
      <c r="H231" s="27">
        <v>641.98083333333329</v>
      </c>
      <c r="I231" s="27">
        <v>4.4444444444444444E-3</v>
      </c>
    </row>
    <row r="232" spans="1:9" x14ac:dyDescent="0.2">
      <c r="A232" s="23">
        <v>45667.166666666664</v>
      </c>
      <c r="B232" s="25">
        <v>45667.166666666664</v>
      </c>
      <c r="C232" s="27">
        <v>0</v>
      </c>
      <c r="D232" s="27">
        <v>0</v>
      </c>
      <c r="E232" s="27">
        <v>901.066650390625</v>
      </c>
      <c r="F232" s="27">
        <v>0</v>
      </c>
      <c r="G232" s="27">
        <v>1780</v>
      </c>
      <c r="H232" s="27">
        <v>640.01638888888886</v>
      </c>
      <c r="I232" s="27">
        <v>0</v>
      </c>
    </row>
    <row r="233" spans="1:9" x14ac:dyDescent="0.2">
      <c r="A233" s="23">
        <v>45667.208333333336</v>
      </c>
      <c r="B233" s="25">
        <v>45667.208333333336</v>
      </c>
      <c r="C233" s="27">
        <v>0</v>
      </c>
      <c r="D233" s="27">
        <v>0</v>
      </c>
      <c r="E233" s="27">
        <v>901.066650390625</v>
      </c>
      <c r="F233" s="27">
        <v>0</v>
      </c>
      <c r="G233" s="27">
        <v>1780</v>
      </c>
      <c r="H233" s="27">
        <v>636.14861111111111</v>
      </c>
      <c r="I233" s="27">
        <v>8.8888888888888889E-3</v>
      </c>
    </row>
    <row r="234" spans="1:9" x14ac:dyDescent="0.2">
      <c r="A234" s="23">
        <v>45667.25</v>
      </c>
      <c r="B234" s="25">
        <v>45667.25</v>
      </c>
      <c r="C234" s="27">
        <v>0</v>
      </c>
      <c r="D234" s="27">
        <v>0</v>
      </c>
      <c r="E234" s="27">
        <v>901.066650390625</v>
      </c>
      <c r="F234" s="27">
        <v>0</v>
      </c>
      <c r="G234" s="27">
        <v>1780</v>
      </c>
      <c r="H234" s="27">
        <v>634.70194444444439</v>
      </c>
      <c r="I234" s="27">
        <v>4.4444444444444444E-3</v>
      </c>
    </row>
    <row r="235" spans="1:9" x14ac:dyDescent="0.2">
      <c r="A235" s="23">
        <v>45667.291666666664</v>
      </c>
      <c r="B235" s="25">
        <v>45667.291666666664</v>
      </c>
      <c r="C235" s="27">
        <v>0</v>
      </c>
      <c r="D235" s="27">
        <v>0</v>
      </c>
      <c r="E235" s="27">
        <v>901.066650390625</v>
      </c>
      <c r="F235" s="27">
        <v>0</v>
      </c>
      <c r="G235" s="27">
        <v>1780</v>
      </c>
      <c r="H235" s="27">
        <v>635.49333333333334</v>
      </c>
      <c r="I235" s="27">
        <v>8.8888888888888889E-3</v>
      </c>
    </row>
    <row r="236" spans="1:9" x14ac:dyDescent="0.2">
      <c r="A236" s="23">
        <v>45667.333333333336</v>
      </c>
      <c r="B236" s="25">
        <v>45667.333333333336</v>
      </c>
      <c r="C236" s="27">
        <v>0</v>
      </c>
      <c r="D236" s="27">
        <v>0</v>
      </c>
      <c r="E236" s="27">
        <v>901.066650390625</v>
      </c>
      <c r="F236" s="27">
        <v>0</v>
      </c>
      <c r="G236" s="27">
        <v>1780</v>
      </c>
      <c r="H236" s="27">
        <v>634.0333333333333</v>
      </c>
      <c r="I236" s="27">
        <v>8.8888888888888889E-3</v>
      </c>
    </row>
    <row r="237" spans="1:9" x14ac:dyDescent="0.2">
      <c r="A237" s="23">
        <v>45667.375</v>
      </c>
      <c r="B237" s="25">
        <v>45667.375</v>
      </c>
      <c r="C237" s="27">
        <v>0</v>
      </c>
      <c r="D237" s="27">
        <v>0</v>
      </c>
      <c r="E237" s="27">
        <v>901.066650390625</v>
      </c>
      <c r="F237" s="27">
        <v>0</v>
      </c>
      <c r="G237" s="27">
        <v>1780</v>
      </c>
      <c r="H237" s="27">
        <v>93.280555555555551</v>
      </c>
      <c r="I237" s="27">
        <v>0</v>
      </c>
    </row>
    <row r="238" spans="1:9" x14ac:dyDescent="0.2">
      <c r="A238" s="23">
        <v>45667.416666666664</v>
      </c>
      <c r="B238" s="25">
        <v>45667.416666666664</v>
      </c>
      <c r="C238" s="27">
        <v>0</v>
      </c>
      <c r="D238" s="27">
        <v>0</v>
      </c>
      <c r="E238" s="27">
        <v>901.066650390625</v>
      </c>
      <c r="F238" s="27">
        <v>0</v>
      </c>
      <c r="G238" s="27">
        <v>1780</v>
      </c>
      <c r="H238" s="27">
        <v>80</v>
      </c>
      <c r="I238" s="27">
        <v>0</v>
      </c>
    </row>
    <row r="239" spans="1:9" x14ac:dyDescent="0.2">
      <c r="A239" s="23">
        <v>45667.458333333336</v>
      </c>
      <c r="B239" s="25">
        <v>45667.458333333336</v>
      </c>
      <c r="C239" s="27">
        <v>0</v>
      </c>
      <c r="D239" s="27">
        <v>0</v>
      </c>
      <c r="E239" s="27">
        <v>901.066650390625</v>
      </c>
      <c r="F239" s="27">
        <v>0</v>
      </c>
      <c r="G239" s="27">
        <v>1780</v>
      </c>
      <c r="H239" s="27">
        <v>80</v>
      </c>
      <c r="I239" s="27">
        <v>0</v>
      </c>
    </row>
    <row r="240" spans="1:9" x14ac:dyDescent="0.2">
      <c r="A240" s="23">
        <v>45667.5</v>
      </c>
      <c r="B240" s="25">
        <v>45667.5</v>
      </c>
      <c r="C240" s="27">
        <v>0</v>
      </c>
      <c r="D240" s="27">
        <v>0</v>
      </c>
      <c r="E240" s="27">
        <v>901.066650390625</v>
      </c>
      <c r="F240" s="27">
        <v>0</v>
      </c>
      <c r="G240" s="27">
        <v>1780</v>
      </c>
      <c r="H240" s="27">
        <v>80</v>
      </c>
      <c r="I240" s="27">
        <v>0</v>
      </c>
    </row>
    <row r="241" spans="1:9" x14ac:dyDescent="0.2">
      <c r="A241" s="23">
        <v>45667.541666666664</v>
      </c>
      <c r="B241" s="25">
        <v>45667.541666666664</v>
      </c>
      <c r="C241" s="27">
        <v>0</v>
      </c>
      <c r="D241" s="27">
        <v>0</v>
      </c>
      <c r="E241" s="27">
        <v>901.066650390625</v>
      </c>
      <c r="F241" s="27">
        <v>0</v>
      </c>
      <c r="G241" s="27">
        <v>1780</v>
      </c>
      <c r="H241" s="27">
        <v>80</v>
      </c>
      <c r="I241" s="27">
        <v>0</v>
      </c>
    </row>
    <row r="242" spans="1:9" x14ac:dyDescent="0.2">
      <c r="A242" s="23">
        <v>45667.583333333336</v>
      </c>
      <c r="B242" s="25">
        <v>45667.583333333336</v>
      </c>
      <c r="C242" s="27">
        <v>0</v>
      </c>
      <c r="D242" s="27">
        <v>0</v>
      </c>
      <c r="E242" s="27">
        <v>901.066650390625</v>
      </c>
      <c r="F242" s="27">
        <v>0</v>
      </c>
      <c r="G242" s="27">
        <v>1780</v>
      </c>
      <c r="H242" s="27">
        <v>80</v>
      </c>
      <c r="I242" s="27">
        <v>0</v>
      </c>
    </row>
    <row r="243" spans="1:9" x14ac:dyDescent="0.2">
      <c r="A243" s="23">
        <v>45667.625</v>
      </c>
      <c r="B243" s="25">
        <v>45667.625</v>
      </c>
      <c r="C243" s="27">
        <v>0</v>
      </c>
      <c r="D243" s="27">
        <v>0</v>
      </c>
      <c r="E243" s="27">
        <v>901.066650390625</v>
      </c>
      <c r="F243" s="27">
        <v>0</v>
      </c>
      <c r="G243" s="27">
        <v>1780</v>
      </c>
      <c r="H243" s="27">
        <v>80</v>
      </c>
      <c r="I243" s="27">
        <v>0</v>
      </c>
    </row>
    <row r="244" spans="1:9" x14ac:dyDescent="0.2">
      <c r="A244" s="23">
        <v>45667.666666666664</v>
      </c>
      <c r="B244" s="25">
        <v>45667.666666666664</v>
      </c>
      <c r="C244" s="27">
        <v>0</v>
      </c>
      <c r="D244" s="27">
        <v>0</v>
      </c>
      <c r="E244" s="27">
        <v>901.066650390625</v>
      </c>
      <c r="F244" s="27">
        <v>0</v>
      </c>
      <c r="G244" s="27">
        <v>1780</v>
      </c>
      <c r="H244" s="27">
        <v>80</v>
      </c>
      <c r="I244" s="27">
        <v>0</v>
      </c>
    </row>
    <row r="245" spans="1:9" x14ac:dyDescent="0.2">
      <c r="A245" s="23">
        <v>45667.708333333336</v>
      </c>
      <c r="B245" s="25">
        <v>45667.708333333336</v>
      </c>
      <c r="C245" s="27">
        <v>0</v>
      </c>
      <c r="D245" s="27">
        <v>0</v>
      </c>
      <c r="E245" s="27">
        <v>901.066650390625</v>
      </c>
      <c r="F245" s="27">
        <v>0</v>
      </c>
      <c r="G245" s="27">
        <v>1780</v>
      </c>
      <c r="H245" s="27">
        <v>80</v>
      </c>
      <c r="I245" s="27">
        <v>0</v>
      </c>
    </row>
    <row r="246" spans="1:9" x14ac:dyDescent="0.2">
      <c r="A246" s="23">
        <v>45667.75</v>
      </c>
      <c r="B246" s="25">
        <v>45667.75</v>
      </c>
      <c r="C246" s="27">
        <v>0</v>
      </c>
      <c r="D246" s="27">
        <v>0</v>
      </c>
      <c r="E246" s="27">
        <v>901.066650390625</v>
      </c>
      <c r="F246" s="27">
        <v>0</v>
      </c>
      <c r="G246" s="27">
        <v>1780</v>
      </c>
      <c r="H246" s="27">
        <v>80</v>
      </c>
      <c r="I246" s="27">
        <v>0</v>
      </c>
    </row>
    <row r="247" spans="1:9" x14ac:dyDescent="0.2">
      <c r="A247" s="23">
        <v>45667.791666666664</v>
      </c>
      <c r="B247" s="25">
        <v>45667.791666666664</v>
      </c>
      <c r="C247" s="27">
        <v>0</v>
      </c>
      <c r="D247" s="27">
        <v>0</v>
      </c>
      <c r="E247" s="27">
        <v>901.066650390625</v>
      </c>
      <c r="F247" s="27">
        <v>0</v>
      </c>
      <c r="G247" s="27">
        <v>1780</v>
      </c>
      <c r="H247" s="27">
        <v>80</v>
      </c>
      <c r="I247" s="27">
        <v>0</v>
      </c>
    </row>
    <row r="248" spans="1:9" x14ac:dyDescent="0.2">
      <c r="A248" s="23">
        <v>45667.833333333336</v>
      </c>
      <c r="B248" s="25">
        <v>45667.833333333336</v>
      </c>
      <c r="C248" s="27">
        <v>0</v>
      </c>
      <c r="D248" s="27">
        <v>0</v>
      </c>
      <c r="E248" s="27">
        <v>901.066650390625</v>
      </c>
      <c r="F248" s="27">
        <v>0</v>
      </c>
      <c r="G248" s="27">
        <v>1780</v>
      </c>
      <c r="H248" s="27">
        <v>80</v>
      </c>
      <c r="I248" s="27">
        <v>0</v>
      </c>
    </row>
    <row r="249" spans="1:9" x14ac:dyDescent="0.2">
      <c r="A249" s="23">
        <v>45667.875</v>
      </c>
      <c r="B249" s="25">
        <v>45667.875</v>
      </c>
      <c r="C249" s="27">
        <v>0</v>
      </c>
      <c r="D249" s="27">
        <v>0</v>
      </c>
      <c r="E249" s="27">
        <v>901.066650390625</v>
      </c>
      <c r="F249" s="27">
        <v>0</v>
      </c>
      <c r="G249" s="27">
        <v>1780</v>
      </c>
      <c r="H249" s="27">
        <v>80</v>
      </c>
      <c r="I249" s="27">
        <v>0</v>
      </c>
    </row>
    <row r="250" spans="1:9" x14ac:dyDescent="0.2">
      <c r="A250" s="23">
        <v>45667.916666666664</v>
      </c>
      <c r="B250" s="25">
        <v>45667.916666666664</v>
      </c>
      <c r="C250" s="27">
        <v>0</v>
      </c>
      <c r="D250" s="27">
        <v>0</v>
      </c>
      <c r="E250" s="27">
        <v>901.066650390625</v>
      </c>
      <c r="F250" s="27">
        <v>0</v>
      </c>
      <c r="G250" s="27">
        <v>1780</v>
      </c>
      <c r="H250" s="27">
        <v>80</v>
      </c>
      <c r="I250" s="27">
        <v>0</v>
      </c>
    </row>
    <row r="251" spans="1:9" x14ac:dyDescent="0.2">
      <c r="A251" s="23">
        <v>45667.958333333336</v>
      </c>
      <c r="B251" s="25">
        <v>45667.958333333336</v>
      </c>
      <c r="C251" s="27">
        <v>0</v>
      </c>
      <c r="D251" s="27">
        <v>0</v>
      </c>
      <c r="E251" s="27">
        <v>901.066650390625</v>
      </c>
      <c r="F251" s="27">
        <v>0</v>
      </c>
      <c r="G251" s="27">
        <v>1780</v>
      </c>
      <c r="H251" s="27">
        <v>80</v>
      </c>
      <c r="I251" s="27">
        <v>0</v>
      </c>
    </row>
    <row r="252" spans="1:9" x14ac:dyDescent="0.2">
      <c r="A252" s="23">
        <v>45668</v>
      </c>
      <c r="B252" s="25">
        <v>45668</v>
      </c>
      <c r="C252" s="27">
        <v>0</v>
      </c>
      <c r="D252" s="27">
        <v>0</v>
      </c>
      <c r="E252" s="27">
        <v>901.066650390625</v>
      </c>
      <c r="F252" s="27">
        <v>0</v>
      </c>
      <c r="G252" s="27">
        <v>1780</v>
      </c>
      <c r="H252" s="27">
        <v>80</v>
      </c>
      <c r="I252" s="27">
        <v>0</v>
      </c>
    </row>
    <row r="253" spans="1:9" x14ac:dyDescent="0.2">
      <c r="A253" s="23">
        <v>45668.041666666664</v>
      </c>
      <c r="B253" s="25">
        <v>45668.041666666664</v>
      </c>
      <c r="C253" s="27">
        <v>0</v>
      </c>
      <c r="D253" s="27">
        <v>0</v>
      </c>
      <c r="E253" s="27">
        <v>901.066650390625</v>
      </c>
      <c r="F253" s="27">
        <v>0</v>
      </c>
      <c r="G253" s="27">
        <v>1780</v>
      </c>
      <c r="H253" s="27">
        <v>80</v>
      </c>
      <c r="I253" s="27">
        <v>0</v>
      </c>
    </row>
    <row r="254" spans="1:9" x14ac:dyDescent="0.2">
      <c r="A254" s="23">
        <v>45668.083333333336</v>
      </c>
      <c r="B254" s="25">
        <v>45668.083333333336</v>
      </c>
      <c r="C254" s="27">
        <v>0</v>
      </c>
      <c r="D254" s="27">
        <v>0</v>
      </c>
      <c r="E254" s="27">
        <v>901.066650390625</v>
      </c>
      <c r="F254" s="27">
        <v>0</v>
      </c>
      <c r="G254" s="27">
        <v>1780</v>
      </c>
      <c r="H254" s="27">
        <v>80</v>
      </c>
      <c r="I254" s="27">
        <v>0</v>
      </c>
    </row>
    <row r="255" spans="1:9" x14ac:dyDescent="0.2">
      <c r="A255" s="23">
        <v>45668.125</v>
      </c>
      <c r="B255" s="25">
        <v>45668.125</v>
      </c>
      <c r="C255" s="27">
        <v>0</v>
      </c>
      <c r="D255" s="27">
        <v>0</v>
      </c>
      <c r="E255" s="27">
        <v>901.066650390625</v>
      </c>
      <c r="F255" s="27">
        <v>0</v>
      </c>
      <c r="G255" s="27">
        <v>1780</v>
      </c>
      <c r="H255" s="27">
        <v>80</v>
      </c>
      <c r="I255" s="27">
        <v>0</v>
      </c>
    </row>
    <row r="256" spans="1:9" x14ac:dyDescent="0.2">
      <c r="A256" s="23">
        <v>45668.166666666664</v>
      </c>
      <c r="B256" s="25">
        <v>45668.166666666664</v>
      </c>
      <c r="C256" s="27">
        <v>0</v>
      </c>
      <c r="D256" s="27">
        <v>0</v>
      </c>
      <c r="E256" s="27">
        <v>901.066650390625</v>
      </c>
      <c r="F256" s="27">
        <v>0</v>
      </c>
      <c r="G256" s="27">
        <v>1780</v>
      </c>
      <c r="H256" s="27">
        <v>80</v>
      </c>
      <c r="I256" s="27">
        <v>0</v>
      </c>
    </row>
    <row r="257" spans="1:9" x14ac:dyDescent="0.2">
      <c r="A257" s="23">
        <v>45668.208333333336</v>
      </c>
      <c r="B257" s="25">
        <v>45668.208333333336</v>
      </c>
      <c r="C257" s="27">
        <v>0</v>
      </c>
      <c r="D257" s="27">
        <v>0</v>
      </c>
      <c r="E257" s="27">
        <v>901.066650390625</v>
      </c>
      <c r="F257" s="27">
        <v>0</v>
      </c>
      <c r="G257" s="27">
        <v>1780</v>
      </c>
      <c r="H257" s="27">
        <v>80</v>
      </c>
      <c r="I257" s="27">
        <v>0</v>
      </c>
    </row>
    <row r="258" spans="1:9" x14ac:dyDescent="0.2">
      <c r="A258" s="23">
        <v>45668.25</v>
      </c>
      <c r="B258" s="25">
        <v>45668.25</v>
      </c>
      <c r="C258" s="27">
        <v>0</v>
      </c>
      <c r="D258" s="27">
        <v>0</v>
      </c>
      <c r="E258" s="27">
        <v>901.066650390625</v>
      </c>
      <c r="F258" s="27">
        <v>0</v>
      </c>
      <c r="G258" s="27">
        <v>1780</v>
      </c>
      <c r="H258" s="27">
        <v>80</v>
      </c>
      <c r="I258" s="27">
        <v>0</v>
      </c>
    </row>
    <row r="259" spans="1:9" x14ac:dyDescent="0.2">
      <c r="A259" s="23">
        <v>45668.291666666664</v>
      </c>
      <c r="B259" s="25">
        <v>45668.291666666664</v>
      </c>
      <c r="C259" s="27">
        <v>0</v>
      </c>
      <c r="D259" s="27">
        <v>0</v>
      </c>
      <c r="E259" s="27">
        <v>901.066650390625</v>
      </c>
      <c r="F259" s="27">
        <v>0</v>
      </c>
      <c r="G259" s="27">
        <v>1780</v>
      </c>
      <c r="H259" s="27">
        <v>80</v>
      </c>
      <c r="I259" s="27">
        <v>0</v>
      </c>
    </row>
    <row r="260" spans="1:9" x14ac:dyDescent="0.2">
      <c r="A260" s="23">
        <v>45668.333333333336</v>
      </c>
      <c r="B260" s="25">
        <v>45668.333333333336</v>
      </c>
      <c r="C260" s="27">
        <v>0</v>
      </c>
      <c r="D260" s="27">
        <v>0</v>
      </c>
      <c r="E260" s="27">
        <v>901.066650390625</v>
      </c>
      <c r="F260" s="27">
        <v>0</v>
      </c>
      <c r="G260" s="27">
        <v>1780</v>
      </c>
      <c r="H260" s="27">
        <v>80</v>
      </c>
      <c r="I260" s="27">
        <v>0</v>
      </c>
    </row>
    <row r="261" spans="1:9" x14ac:dyDescent="0.2">
      <c r="A261" s="23">
        <v>45668.375</v>
      </c>
      <c r="B261" s="25">
        <v>45668.375</v>
      </c>
      <c r="C261" s="27">
        <v>0</v>
      </c>
      <c r="D261" s="27">
        <v>0</v>
      </c>
      <c r="E261" s="27">
        <v>901.066650390625</v>
      </c>
      <c r="F261" s="27">
        <v>0</v>
      </c>
      <c r="G261" s="27">
        <v>1780</v>
      </c>
      <c r="H261" s="27">
        <v>109.7375</v>
      </c>
      <c r="I261" s="27">
        <v>0</v>
      </c>
    </row>
    <row r="262" spans="1:9" x14ac:dyDescent="0.2">
      <c r="A262" s="23">
        <v>45668.416666666664</v>
      </c>
      <c r="B262" s="25">
        <v>45668.416666666664</v>
      </c>
      <c r="C262" s="27">
        <v>0</v>
      </c>
      <c r="D262" s="27">
        <v>0</v>
      </c>
      <c r="E262" s="27">
        <v>901.066650390625</v>
      </c>
      <c r="F262" s="27">
        <v>0</v>
      </c>
      <c r="G262" s="27">
        <v>1780</v>
      </c>
      <c r="H262" s="27">
        <v>80</v>
      </c>
      <c r="I262" s="27">
        <v>0</v>
      </c>
    </row>
    <row r="263" spans="1:9" x14ac:dyDescent="0.2">
      <c r="A263" s="23">
        <v>45668.458333333336</v>
      </c>
      <c r="B263" s="25">
        <v>45668.458333333336</v>
      </c>
      <c r="C263" s="27">
        <v>0</v>
      </c>
      <c r="D263" s="27">
        <v>0</v>
      </c>
      <c r="E263" s="27">
        <v>901.066650390625</v>
      </c>
      <c r="F263" s="27">
        <v>0</v>
      </c>
      <c r="G263" s="27">
        <v>1780</v>
      </c>
      <c r="H263" s="27">
        <v>80</v>
      </c>
      <c r="I263" s="27">
        <v>0</v>
      </c>
    </row>
    <row r="264" spans="1:9" x14ac:dyDescent="0.2">
      <c r="A264" s="23">
        <v>45668.5</v>
      </c>
      <c r="B264" s="25">
        <v>45668.5</v>
      </c>
      <c r="C264" s="27">
        <v>0.11644444359673393</v>
      </c>
      <c r="D264" s="27">
        <v>4.611111051506466E-3</v>
      </c>
      <c r="E264" s="27">
        <v>901.066650390625</v>
      </c>
      <c r="F264" s="27">
        <v>0.13583333333333333</v>
      </c>
      <c r="G264" s="27">
        <v>1780</v>
      </c>
      <c r="H264" s="27">
        <v>564.18111111111114</v>
      </c>
      <c r="I264" s="27">
        <v>2.0555555555555556E-2</v>
      </c>
    </row>
    <row r="265" spans="1:9" x14ac:dyDescent="0.2">
      <c r="A265" s="23">
        <v>45668.541666666664</v>
      </c>
      <c r="B265" s="25">
        <v>45668.541666666664</v>
      </c>
      <c r="C265" s="27">
        <v>0</v>
      </c>
      <c r="D265" s="27">
        <v>0</v>
      </c>
      <c r="E265" s="27">
        <v>901.066650390625</v>
      </c>
      <c r="F265" s="27">
        <v>0</v>
      </c>
      <c r="G265" s="27">
        <v>1780</v>
      </c>
      <c r="H265" s="27">
        <v>637.12305555555554</v>
      </c>
      <c r="I265" s="27">
        <v>8.8888888888888889E-3</v>
      </c>
    </row>
    <row r="266" spans="1:9" x14ac:dyDescent="0.2">
      <c r="A266" s="23">
        <v>45668.583333333336</v>
      </c>
      <c r="B266" s="25">
        <v>45668.583333333336</v>
      </c>
      <c r="C266" s="27">
        <v>0</v>
      </c>
      <c r="D266" s="27">
        <v>0</v>
      </c>
      <c r="E266" s="27">
        <v>901.066650390625</v>
      </c>
      <c r="F266" s="27">
        <v>0</v>
      </c>
      <c r="G266" s="27">
        <v>1780</v>
      </c>
      <c r="H266" s="27">
        <v>553.40777777777782</v>
      </c>
      <c r="I266" s="27">
        <v>8.8888888888888889E-3</v>
      </c>
    </row>
    <row r="267" spans="1:9" x14ac:dyDescent="0.2">
      <c r="A267" s="23">
        <v>45668.625</v>
      </c>
      <c r="B267" s="25">
        <v>45668.625</v>
      </c>
      <c r="C267" s="27">
        <v>0</v>
      </c>
      <c r="D267" s="27">
        <v>0</v>
      </c>
      <c r="E267" s="27">
        <v>901.066650390625</v>
      </c>
      <c r="F267" s="27">
        <v>0</v>
      </c>
      <c r="G267" s="27">
        <v>1780</v>
      </c>
      <c r="H267" s="27">
        <v>80</v>
      </c>
      <c r="I267" s="27">
        <v>0</v>
      </c>
    </row>
    <row r="268" spans="1:9" x14ac:dyDescent="0.2">
      <c r="A268" s="23">
        <v>45668.666666666664</v>
      </c>
      <c r="B268" s="25">
        <v>45668.666666666664</v>
      </c>
      <c r="C268" s="27">
        <v>0</v>
      </c>
      <c r="D268" s="27">
        <v>0</v>
      </c>
      <c r="E268" s="27">
        <v>901.066650390625</v>
      </c>
      <c r="F268" s="27">
        <v>0</v>
      </c>
      <c r="G268" s="27">
        <v>1780</v>
      </c>
      <c r="H268" s="27">
        <v>80</v>
      </c>
      <c r="I268" s="27">
        <v>0</v>
      </c>
    </row>
    <row r="269" spans="1:9" x14ac:dyDescent="0.2">
      <c r="A269" s="23">
        <v>45668.708333333336</v>
      </c>
      <c r="B269" s="25">
        <v>45668.708333333336</v>
      </c>
      <c r="C269" s="27">
        <v>0</v>
      </c>
      <c r="D269" s="27">
        <v>0</v>
      </c>
      <c r="E269" s="27">
        <v>901.066650390625</v>
      </c>
      <c r="F269" s="27">
        <v>0</v>
      </c>
      <c r="G269" s="27">
        <v>1780</v>
      </c>
      <c r="H269" s="27">
        <v>80</v>
      </c>
      <c r="I269" s="27">
        <v>0</v>
      </c>
    </row>
    <row r="270" spans="1:9" x14ac:dyDescent="0.2">
      <c r="A270" s="23">
        <v>45668.75</v>
      </c>
      <c r="B270" s="25">
        <v>45668.75</v>
      </c>
      <c r="C270" s="27">
        <v>0</v>
      </c>
      <c r="D270" s="27">
        <v>0</v>
      </c>
      <c r="E270" s="27">
        <v>901.066650390625</v>
      </c>
      <c r="F270" s="27">
        <v>0</v>
      </c>
      <c r="G270" s="27">
        <v>1780</v>
      </c>
      <c r="H270" s="27">
        <v>80</v>
      </c>
      <c r="I270" s="27">
        <v>0</v>
      </c>
    </row>
    <row r="271" spans="1:9" x14ac:dyDescent="0.2">
      <c r="A271" s="23">
        <v>45668.791666666664</v>
      </c>
      <c r="B271" s="25">
        <v>45668.791666666664</v>
      </c>
      <c r="C271" s="27">
        <v>0</v>
      </c>
      <c r="D271" s="27">
        <v>0</v>
      </c>
      <c r="E271" s="27">
        <v>901.066650390625</v>
      </c>
      <c r="F271" s="27">
        <v>0</v>
      </c>
      <c r="G271" s="27">
        <v>1780</v>
      </c>
      <c r="H271" s="27">
        <v>80</v>
      </c>
      <c r="I271" s="27">
        <v>0</v>
      </c>
    </row>
    <row r="272" spans="1:9" x14ac:dyDescent="0.2">
      <c r="A272" s="23">
        <v>45668.833333333336</v>
      </c>
      <c r="B272" s="25">
        <v>45668.833333333336</v>
      </c>
      <c r="C272" s="27">
        <v>0</v>
      </c>
      <c r="D272" s="27">
        <v>0</v>
      </c>
      <c r="E272" s="27">
        <v>901.066650390625</v>
      </c>
      <c r="F272" s="27">
        <v>0</v>
      </c>
      <c r="G272" s="27">
        <v>1780</v>
      </c>
      <c r="H272" s="27">
        <v>80</v>
      </c>
      <c r="I272" s="27">
        <v>0</v>
      </c>
    </row>
    <row r="273" spans="1:9" x14ac:dyDescent="0.2">
      <c r="A273" s="23">
        <v>45668.875</v>
      </c>
      <c r="B273" s="25">
        <v>45668.875</v>
      </c>
      <c r="C273" s="27">
        <v>0</v>
      </c>
      <c r="D273" s="27">
        <v>0</v>
      </c>
      <c r="E273" s="27">
        <v>901.066650390625</v>
      </c>
      <c r="F273" s="27">
        <v>0</v>
      </c>
      <c r="G273" s="27">
        <v>1780</v>
      </c>
      <c r="H273" s="27">
        <v>80</v>
      </c>
      <c r="I273" s="27">
        <v>0</v>
      </c>
    </row>
    <row r="274" spans="1:9" x14ac:dyDescent="0.2">
      <c r="A274" s="23">
        <v>45668.916666666664</v>
      </c>
      <c r="B274" s="25">
        <v>45668.916666666664</v>
      </c>
      <c r="C274" s="27">
        <v>0</v>
      </c>
      <c r="D274" s="27">
        <v>0</v>
      </c>
      <c r="E274" s="27">
        <v>901.066650390625</v>
      </c>
      <c r="F274" s="27">
        <v>0</v>
      </c>
      <c r="G274" s="27">
        <v>1780</v>
      </c>
      <c r="H274" s="27">
        <v>80</v>
      </c>
      <c r="I274" s="27">
        <v>0</v>
      </c>
    </row>
    <row r="275" spans="1:9" x14ac:dyDescent="0.2">
      <c r="A275" s="23">
        <v>45668.958333333336</v>
      </c>
      <c r="B275" s="25">
        <v>45668.958333333336</v>
      </c>
      <c r="C275" s="27">
        <v>0</v>
      </c>
      <c r="D275" s="27">
        <v>0</v>
      </c>
      <c r="E275" s="27">
        <v>901.066650390625</v>
      </c>
      <c r="F275" s="27">
        <v>0</v>
      </c>
      <c r="G275" s="27">
        <v>1780</v>
      </c>
      <c r="H275" s="27">
        <v>80</v>
      </c>
      <c r="I275" s="27">
        <v>0</v>
      </c>
    </row>
    <row r="276" spans="1:9" x14ac:dyDescent="0.2">
      <c r="A276" s="23">
        <v>45669</v>
      </c>
      <c r="B276" s="25">
        <v>45669</v>
      </c>
      <c r="C276" s="27">
        <v>0</v>
      </c>
      <c r="D276" s="27">
        <v>0</v>
      </c>
      <c r="E276" s="27">
        <v>901.066650390625</v>
      </c>
      <c r="F276" s="27">
        <v>0</v>
      </c>
      <c r="G276" s="27">
        <v>1780</v>
      </c>
      <c r="H276" s="27">
        <v>80</v>
      </c>
      <c r="I276" s="27">
        <v>0</v>
      </c>
    </row>
    <row r="277" spans="1:9" x14ac:dyDescent="0.2">
      <c r="A277" s="23">
        <v>45669.041666666664</v>
      </c>
      <c r="B277" s="25">
        <v>45669.041666666664</v>
      </c>
      <c r="C277" s="27">
        <v>0</v>
      </c>
      <c r="D277" s="27">
        <v>0</v>
      </c>
      <c r="E277" s="27">
        <v>901.066650390625</v>
      </c>
      <c r="F277" s="27">
        <v>0</v>
      </c>
      <c r="G277" s="27">
        <v>1780</v>
      </c>
      <c r="H277" s="27">
        <v>80</v>
      </c>
      <c r="I277" s="27">
        <v>0</v>
      </c>
    </row>
    <row r="278" spans="1:9" x14ac:dyDescent="0.2">
      <c r="A278" s="23">
        <v>45669.083333333336</v>
      </c>
      <c r="B278" s="25">
        <v>45669.083333333336</v>
      </c>
      <c r="C278" s="27">
        <v>0</v>
      </c>
      <c r="D278" s="27">
        <v>0</v>
      </c>
      <c r="E278" s="27">
        <v>901.066650390625</v>
      </c>
      <c r="F278" s="27">
        <v>0</v>
      </c>
      <c r="G278" s="27">
        <v>1780</v>
      </c>
      <c r="H278" s="27">
        <v>80</v>
      </c>
      <c r="I278" s="27">
        <v>0</v>
      </c>
    </row>
    <row r="279" spans="1:9" x14ac:dyDescent="0.2">
      <c r="A279" s="23">
        <v>45669.125</v>
      </c>
      <c r="B279" s="25">
        <v>45669.125</v>
      </c>
      <c r="C279" s="27">
        <v>0</v>
      </c>
      <c r="D279" s="27">
        <v>0</v>
      </c>
      <c r="E279" s="27">
        <v>901.066650390625</v>
      </c>
      <c r="F279" s="27">
        <v>0</v>
      </c>
      <c r="G279" s="27">
        <v>1780</v>
      </c>
      <c r="H279" s="27">
        <v>80</v>
      </c>
      <c r="I279" s="27">
        <v>0</v>
      </c>
    </row>
    <row r="280" spans="1:9" x14ac:dyDescent="0.2">
      <c r="A280" s="23">
        <v>45669.166666666664</v>
      </c>
      <c r="B280" s="25">
        <v>45669.166666666664</v>
      </c>
      <c r="C280" s="27">
        <v>0</v>
      </c>
      <c r="D280" s="27">
        <v>0</v>
      </c>
      <c r="E280" s="27">
        <v>901.066650390625</v>
      </c>
      <c r="F280" s="27">
        <v>0</v>
      </c>
      <c r="G280" s="27">
        <v>1780</v>
      </c>
      <c r="H280" s="27">
        <v>80</v>
      </c>
      <c r="I280" s="27">
        <v>0</v>
      </c>
    </row>
    <row r="281" spans="1:9" x14ac:dyDescent="0.2">
      <c r="A281" s="23">
        <v>45669.208333333336</v>
      </c>
      <c r="B281" s="25">
        <v>45669.208333333336</v>
      </c>
      <c r="C281" s="27">
        <v>0</v>
      </c>
      <c r="D281" s="27">
        <v>0</v>
      </c>
      <c r="E281" s="27">
        <v>901.066650390625</v>
      </c>
      <c r="F281" s="27">
        <v>0</v>
      </c>
      <c r="G281" s="27">
        <v>1780</v>
      </c>
      <c r="H281" s="27">
        <v>80</v>
      </c>
      <c r="I281" s="27">
        <v>0</v>
      </c>
    </row>
    <row r="282" spans="1:9" x14ac:dyDescent="0.2">
      <c r="A282" s="23">
        <v>45669.25</v>
      </c>
      <c r="B282" s="25">
        <v>45669.25</v>
      </c>
      <c r="C282" s="27">
        <v>0</v>
      </c>
      <c r="D282" s="27">
        <v>0</v>
      </c>
      <c r="E282" s="27">
        <v>901.066650390625</v>
      </c>
      <c r="F282" s="27">
        <v>0</v>
      </c>
      <c r="G282" s="27">
        <v>1780</v>
      </c>
      <c r="H282" s="27">
        <v>80</v>
      </c>
      <c r="I282" s="27">
        <v>0</v>
      </c>
    </row>
    <row r="283" spans="1:9" x14ac:dyDescent="0.2">
      <c r="A283" s="23">
        <v>45669.291666666664</v>
      </c>
      <c r="B283" s="25">
        <v>45669.291666666664</v>
      </c>
      <c r="C283" s="27">
        <v>0</v>
      </c>
      <c r="D283" s="27">
        <v>0</v>
      </c>
      <c r="E283" s="27">
        <v>901.066650390625</v>
      </c>
      <c r="F283" s="27">
        <v>0</v>
      </c>
      <c r="G283" s="27">
        <v>1780</v>
      </c>
      <c r="H283" s="27">
        <v>80</v>
      </c>
      <c r="I283" s="27">
        <v>0</v>
      </c>
    </row>
    <row r="284" spans="1:9" x14ac:dyDescent="0.2">
      <c r="A284" s="23">
        <v>45669.333333333336</v>
      </c>
      <c r="B284" s="25">
        <v>45669.333333333336</v>
      </c>
      <c r="C284" s="27">
        <v>0</v>
      </c>
      <c r="D284" s="27">
        <v>0</v>
      </c>
      <c r="E284" s="27">
        <v>901.066650390625</v>
      </c>
      <c r="F284" s="27">
        <v>0</v>
      </c>
      <c r="G284" s="27">
        <v>1780</v>
      </c>
      <c r="H284" s="27">
        <v>80</v>
      </c>
      <c r="I284" s="27">
        <v>0</v>
      </c>
    </row>
    <row r="285" spans="1:9" x14ac:dyDescent="0.2">
      <c r="A285" s="23">
        <v>45669.375</v>
      </c>
      <c r="B285" s="25">
        <v>45669.375</v>
      </c>
      <c r="C285" s="27">
        <v>0</v>
      </c>
      <c r="D285" s="27">
        <v>0</v>
      </c>
      <c r="E285" s="27">
        <v>901.066650390625</v>
      </c>
      <c r="F285" s="27">
        <v>0</v>
      </c>
      <c r="G285" s="27">
        <v>1780</v>
      </c>
      <c r="H285" s="27">
        <v>80</v>
      </c>
      <c r="I285" s="27">
        <v>0</v>
      </c>
    </row>
    <row r="286" spans="1:9" x14ac:dyDescent="0.2">
      <c r="A286" s="23">
        <v>45669.416666666664</v>
      </c>
      <c r="B286" s="25">
        <v>45669.416666666664</v>
      </c>
      <c r="C286" s="27">
        <v>0</v>
      </c>
      <c r="D286" s="27">
        <v>0</v>
      </c>
      <c r="E286" s="27">
        <v>901.066650390625</v>
      </c>
      <c r="F286" s="27">
        <v>0</v>
      </c>
      <c r="G286" s="27">
        <v>1780</v>
      </c>
      <c r="H286" s="27">
        <v>80</v>
      </c>
      <c r="I286" s="27">
        <v>0</v>
      </c>
    </row>
    <row r="287" spans="1:9" x14ac:dyDescent="0.2">
      <c r="A287" s="23">
        <v>45669.458333333336</v>
      </c>
      <c r="B287" s="25">
        <v>45669.458333333336</v>
      </c>
      <c r="C287" s="27">
        <v>0</v>
      </c>
      <c r="D287" s="27">
        <v>0</v>
      </c>
      <c r="E287" s="27">
        <v>901.066650390625</v>
      </c>
      <c r="F287" s="27">
        <v>0</v>
      </c>
      <c r="G287" s="27">
        <v>1780</v>
      </c>
      <c r="H287" s="27">
        <v>80</v>
      </c>
      <c r="I287" s="27">
        <v>0</v>
      </c>
    </row>
    <row r="288" spans="1:9" x14ac:dyDescent="0.2">
      <c r="A288" s="23">
        <v>45669.5</v>
      </c>
      <c r="B288" s="25">
        <v>45669.5</v>
      </c>
      <c r="C288" s="27">
        <v>0</v>
      </c>
      <c r="D288" s="27">
        <v>0</v>
      </c>
      <c r="E288" s="27">
        <v>901.066650390625</v>
      </c>
      <c r="F288" s="27">
        <v>0</v>
      </c>
      <c r="G288" s="27">
        <v>1780</v>
      </c>
      <c r="H288" s="27">
        <v>80</v>
      </c>
      <c r="I288" s="27">
        <v>0</v>
      </c>
    </row>
    <row r="289" spans="1:9" x14ac:dyDescent="0.2">
      <c r="A289" s="23">
        <v>45669.541666666664</v>
      </c>
      <c r="B289" s="25">
        <v>45669.541666666664</v>
      </c>
      <c r="C289" s="27">
        <v>0</v>
      </c>
      <c r="D289" s="27">
        <v>0</v>
      </c>
      <c r="E289" s="27">
        <v>901.066650390625</v>
      </c>
      <c r="F289" s="27">
        <v>0</v>
      </c>
      <c r="G289" s="27">
        <v>1780</v>
      </c>
      <c r="H289" s="27">
        <v>80</v>
      </c>
      <c r="I289" s="27">
        <v>0</v>
      </c>
    </row>
    <row r="290" spans="1:9" x14ac:dyDescent="0.2">
      <c r="A290" s="23">
        <v>45669.583333333336</v>
      </c>
      <c r="B290" s="25">
        <v>45669.583333333336</v>
      </c>
      <c r="C290" s="27">
        <v>0</v>
      </c>
      <c r="D290" s="27">
        <v>0</v>
      </c>
      <c r="E290" s="27">
        <v>901.066650390625</v>
      </c>
      <c r="F290" s="27">
        <v>0</v>
      </c>
      <c r="G290" s="27">
        <v>1780</v>
      </c>
      <c r="H290" s="27">
        <v>80</v>
      </c>
      <c r="I290" s="27">
        <v>0</v>
      </c>
    </row>
    <row r="291" spans="1:9" x14ac:dyDescent="0.2">
      <c r="A291" s="23">
        <v>45669.625</v>
      </c>
      <c r="B291" s="25">
        <v>45669.625</v>
      </c>
      <c r="C291" s="27">
        <v>0</v>
      </c>
      <c r="D291" s="27">
        <v>0</v>
      </c>
      <c r="E291" s="27">
        <v>901.066650390625</v>
      </c>
      <c r="F291" s="27">
        <v>0</v>
      </c>
      <c r="G291" s="27">
        <v>1780</v>
      </c>
      <c r="H291" s="27">
        <v>80</v>
      </c>
      <c r="I291" s="27">
        <v>0</v>
      </c>
    </row>
    <row r="292" spans="1:9" x14ac:dyDescent="0.2">
      <c r="A292" s="23">
        <v>45669.666666666664</v>
      </c>
      <c r="B292" s="25">
        <v>45669.666666666664</v>
      </c>
      <c r="C292" s="27">
        <v>0</v>
      </c>
      <c r="D292" s="27">
        <v>0</v>
      </c>
      <c r="E292" s="27">
        <v>901.066650390625</v>
      </c>
      <c r="F292" s="27">
        <v>0</v>
      </c>
      <c r="G292" s="27">
        <v>1780</v>
      </c>
      <c r="H292" s="27">
        <v>80</v>
      </c>
      <c r="I292" s="27">
        <v>0</v>
      </c>
    </row>
    <row r="293" spans="1:9" x14ac:dyDescent="0.2">
      <c r="A293" s="23">
        <v>45669.708333333336</v>
      </c>
      <c r="B293" s="25">
        <v>45669.708333333336</v>
      </c>
      <c r="C293" s="27">
        <v>0</v>
      </c>
      <c r="D293" s="27">
        <v>0</v>
      </c>
      <c r="E293" s="27">
        <v>901.066650390625</v>
      </c>
      <c r="F293" s="27">
        <v>0</v>
      </c>
      <c r="G293" s="27">
        <v>1780</v>
      </c>
      <c r="H293" s="27">
        <v>80</v>
      </c>
      <c r="I293" s="27">
        <v>0</v>
      </c>
    </row>
    <row r="294" spans="1:9" x14ac:dyDescent="0.2">
      <c r="A294" s="23">
        <v>45669.75</v>
      </c>
      <c r="B294" s="25">
        <v>45669.75</v>
      </c>
      <c r="C294" s="27">
        <v>0</v>
      </c>
      <c r="D294" s="27">
        <v>0</v>
      </c>
      <c r="E294" s="27">
        <v>901.066650390625</v>
      </c>
      <c r="F294" s="27">
        <v>0</v>
      </c>
      <c r="G294" s="27">
        <v>1780</v>
      </c>
      <c r="H294" s="27">
        <v>80</v>
      </c>
      <c r="I294" s="27">
        <v>0</v>
      </c>
    </row>
    <row r="295" spans="1:9" x14ac:dyDescent="0.2">
      <c r="A295" s="23">
        <v>45669.791666666664</v>
      </c>
      <c r="B295" s="25">
        <v>45669.791666666664</v>
      </c>
      <c r="C295" s="27">
        <v>0</v>
      </c>
      <c r="D295" s="27">
        <v>0</v>
      </c>
      <c r="E295" s="27">
        <v>901.066650390625</v>
      </c>
      <c r="F295" s="27">
        <v>0</v>
      </c>
      <c r="G295" s="27">
        <v>1780</v>
      </c>
      <c r="H295" s="27">
        <v>80</v>
      </c>
      <c r="I295" s="27">
        <v>0</v>
      </c>
    </row>
    <row r="296" spans="1:9" x14ac:dyDescent="0.2">
      <c r="A296" s="23">
        <v>45669.833333333336</v>
      </c>
      <c r="B296" s="25">
        <v>45669.833333333336</v>
      </c>
      <c r="C296" s="27">
        <v>0</v>
      </c>
      <c r="D296" s="27">
        <v>0</v>
      </c>
      <c r="E296" s="27">
        <v>901.066650390625</v>
      </c>
      <c r="F296" s="27">
        <v>0</v>
      </c>
      <c r="G296" s="27">
        <v>1780</v>
      </c>
      <c r="H296" s="27">
        <v>80</v>
      </c>
      <c r="I296" s="27">
        <v>0</v>
      </c>
    </row>
    <row r="297" spans="1:9" x14ac:dyDescent="0.2">
      <c r="A297" s="23">
        <v>45669.875</v>
      </c>
      <c r="B297" s="25">
        <v>45669.875</v>
      </c>
      <c r="C297" s="27">
        <v>0</v>
      </c>
      <c r="D297" s="27">
        <v>0</v>
      </c>
      <c r="E297" s="27">
        <v>901.066650390625</v>
      </c>
      <c r="F297" s="27">
        <v>0</v>
      </c>
      <c r="G297" s="27">
        <v>1780</v>
      </c>
      <c r="H297" s="27">
        <v>80</v>
      </c>
      <c r="I297" s="27">
        <v>0</v>
      </c>
    </row>
    <row r="298" spans="1:9" x14ac:dyDescent="0.2">
      <c r="A298" s="23">
        <v>45669.916666666664</v>
      </c>
      <c r="B298" s="25">
        <v>45669.916666666664</v>
      </c>
      <c r="C298" s="27">
        <v>0</v>
      </c>
      <c r="D298" s="27">
        <v>0</v>
      </c>
      <c r="E298" s="27">
        <v>901.066650390625</v>
      </c>
      <c r="F298" s="27">
        <v>0</v>
      </c>
      <c r="G298" s="27">
        <v>1780</v>
      </c>
      <c r="H298" s="27">
        <v>80</v>
      </c>
      <c r="I298" s="27">
        <v>0</v>
      </c>
    </row>
    <row r="299" spans="1:9" x14ac:dyDescent="0.2">
      <c r="A299" s="23">
        <v>45669.958333333336</v>
      </c>
      <c r="B299" s="25">
        <v>45669.958333333336</v>
      </c>
      <c r="C299" s="27">
        <v>0</v>
      </c>
      <c r="D299" s="27">
        <v>0</v>
      </c>
      <c r="E299" s="27">
        <v>901.066650390625</v>
      </c>
      <c r="F299" s="27">
        <v>0</v>
      </c>
      <c r="G299" s="27">
        <v>1780</v>
      </c>
      <c r="H299" s="27">
        <v>80</v>
      </c>
      <c r="I299" s="27">
        <v>0</v>
      </c>
    </row>
    <row r="300" spans="1:9" x14ac:dyDescent="0.2">
      <c r="A300" s="23">
        <v>45670</v>
      </c>
      <c r="B300" s="25">
        <v>45670</v>
      </c>
      <c r="C300" s="27">
        <v>0</v>
      </c>
      <c r="D300" s="27">
        <v>0</v>
      </c>
      <c r="E300" s="27">
        <v>901.066650390625</v>
      </c>
      <c r="F300" s="27">
        <v>0</v>
      </c>
      <c r="G300" s="27">
        <v>1780</v>
      </c>
      <c r="H300" s="27">
        <v>80</v>
      </c>
      <c r="I300" s="27">
        <v>0</v>
      </c>
    </row>
    <row r="301" spans="1:9" x14ac:dyDescent="0.2">
      <c r="A301" s="23">
        <v>45670.041666666664</v>
      </c>
      <c r="B301" s="25">
        <v>45670.041666666664</v>
      </c>
      <c r="C301" s="27">
        <v>0</v>
      </c>
      <c r="D301" s="27">
        <v>0</v>
      </c>
      <c r="E301" s="27">
        <v>901.066650390625</v>
      </c>
      <c r="F301" s="27">
        <v>0</v>
      </c>
      <c r="G301" s="27">
        <v>1780</v>
      </c>
      <c r="H301" s="27">
        <v>80</v>
      </c>
      <c r="I301" s="27">
        <v>0</v>
      </c>
    </row>
    <row r="302" spans="1:9" x14ac:dyDescent="0.2">
      <c r="A302" s="23">
        <v>45670.083333333336</v>
      </c>
      <c r="B302" s="25">
        <v>45670.083333333336</v>
      </c>
      <c r="C302" s="27">
        <v>0</v>
      </c>
      <c r="D302" s="27">
        <v>0</v>
      </c>
      <c r="E302" s="27">
        <v>901.066650390625</v>
      </c>
      <c r="F302" s="27">
        <v>0</v>
      </c>
      <c r="G302" s="27">
        <v>1780</v>
      </c>
      <c r="H302" s="27">
        <v>80</v>
      </c>
      <c r="I302" s="27">
        <v>0</v>
      </c>
    </row>
    <row r="303" spans="1:9" x14ac:dyDescent="0.2">
      <c r="A303" s="23">
        <v>45670.125</v>
      </c>
      <c r="B303" s="25">
        <v>45670.125</v>
      </c>
      <c r="C303" s="27">
        <v>0</v>
      </c>
      <c r="D303" s="27">
        <v>0</v>
      </c>
      <c r="E303" s="27">
        <v>901.066650390625</v>
      </c>
      <c r="F303" s="27">
        <v>0</v>
      </c>
      <c r="G303" s="27">
        <v>1780</v>
      </c>
      <c r="H303" s="27">
        <v>80</v>
      </c>
      <c r="I303" s="27">
        <v>0</v>
      </c>
    </row>
    <row r="304" spans="1:9" x14ac:dyDescent="0.2">
      <c r="A304" s="23">
        <v>45670.166666666664</v>
      </c>
      <c r="B304" s="25">
        <v>45670.166666666664</v>
      </c>
      <c r="C304" s="27">
        <v>0</v>
      </c>
      <c r="D304" s="27">
        <v>0</v>
      </c>
      <c r="E304" s="27">
        <v>901.066650390625</v>
      </c>
      <c r="F304" s="27">
        <v>0</v>
      </c>
      <c r="G304" s="27">
        <v>1780</v>
      </c>
      <c r="H304" s="27">
        <v>80</v>
      </c>
      <c r="I304" s="27">
        <v>0</v>
      </c>
    </row>
    <row r="305" spans="1:9" x14ac:dyDescent="0.2">
      <c r="A305" s="23">
        <v>45670.208333333336</v>
      </c>
      <c r="B305" s="25">
        <v>45670.208333333336</v>
      </c>
      <c r="C305" s="27">
        <v>0</v>
      </c>
      <c r="D305" s="27">
        <v>0</v>
      </c>
      <c r="E305" s="27">
        <v>901.066650390625</v>
      </c>
      <c r="F305" s="27">
        <v>0</v>
      </c>
      <c r="G305" s="27">
        <v>1780</v>
      </c>
      <c r="H305" s="27">
        <v>80</v>
      </c>
      <c r="I305" s="27">
        <v>0</v>
      </c>
    </row>
    <row r="306" spans="1:9" x14ac:dyDescent="0.2">
      <c r="A306" s="23">
        <v>45670.25</v>
      </c>
      <c r="B306" s="25">
        <v>45670.25</v>
      </c>
      <c r="C306" s="27">
        <v>0</v>
      </c>
      <c r="D306" s="27">
        <v>0</v>
      </c>
      <c r="E306" s="27">
        <v>901.066650390625</v>
      </c>
      <c r="F306" s="27">
        <v>0</v>
      </c>
      <c r="G306" s="27">
        <v>1780</v>
      </c>
      <c r="H306" s="27">
        <v>80</v>
      </c>
      <c r="I306" s="27">
        <v>0</v>
      </c>
    </row>
    <row r="307" spans="1:9" x14ac:dyDescent="0.2">
      <c r="A307" s="23">
        <v>45670.291666666664</v>
      </c>
      <c r="B307" s="25">
        <v>45670.291666666664</v>
      </c>
      <c r="C307" s="27">
        <v>0</v>
      </c>
      <c r="D307" s="27">
        <v>0</v>
      </c>
      <c r="E307" s="27">
        <v>901.066650390625</v>
      </c>
      <c r="F307" s="27">
        <v>0</v>
      </c>
      <c r="G307" s="27">
        <v>1780</v>
      </c>
      <c r="H307" s="27">
        <v>80</v>
      </c>
      <c r="I307" s="27">
        <v>0</v>
      </c>
    </row>
    <row r="308" spans="1:9" x14ac:dyDescent="0.2">
      <c r="A308" s="23">
        <v>45670.333333333336</v>
      </c>
      <c r="B308" s="25">
        <v>45670.333333333336</v>
      </c>
      <c r="C308" s="27">
        <v>3.6636944495307073</v>
      </c>
      <c r="D308" s="27">
        <v>1.0178610903024674</v>
      </c>
      <c r="E308" s="27">
        <v>901.06847864786789</v>
      </c>
      <c r="F308" s="27">
        <v>30.58861111111111</v>
      </c>
      <c r="G308" s="27">
        <v>1780</v>
      </c>
      <c r="H308" s="27">
        <v>225.51888888888888</v>
      </c>
      <c r="I308" s="27">
        <v>7.9130555555555553</v>
      </c>
    </row>
    <row r="309" spans="1:9" x14ac:dyDescent="0.2">
      <c r="A309" s="23">
        <v>45670.375</v>
      </c>
      <c r="B309" s="25">
        <v>45670.375</v>
      </c>
      <c r="C309" s="27">
        <v>16.220027810202705</v>
      </c>
      <c r="D309" s="27">
        <v>4.7971944025324449</v>
      </c>
      <c r="E309" s="27">
        <v>901.19341707017691</v>
      </c>
      <c r="F309" s="27">
        <v>144.03638888888889</v>
      </c>
      <c r="G309" s="27">
        <v>1780</v>
      </c>
      <c r="H309" s="27">
        <v>306.64416666666665</v>
      </c>
      <c r="I309" s="27">
        <v>37.273333333333333</v>
      </c>
    </row>
    <row r="310" spans="1:9" x14ac:dyDescent="0.2">
      <c r="A310" s="23">
        <v>45670.416666666664</v>
      </c>
      <c r="B310" s="25">
        <v>45670.416666666664</v>
      </c>
      <c r="C310" s="27">
        <v>25.103027780320911</v>
      </c>
      <c r="D310" s="27">
        <v>10.257499968277083</v>
      </c>
      <c r="E310" s="27">
        <v>901.25110907660587</v>
      </c>
      <c r="F310" s="27">
        <v>307.8122222222222</v>
      </c>
      <c r="G310" s="27">
        <v>1780</v>
      </c>
      <c r="H310" s="27">
        <v>192.91527777777779</v>
      </c>
      <c r="I310" s="27">
        <v>79.539722222222224</v>
      </c>
    </row>
    <row r="311" spans="1:9" x14ac:dyDescent="0.2">
      <c r="A311" s="23">
        <v>45670.458333333336</v>
      </c>
      <c r="B311" s="25">
        <v>45670.458333333336</v>
      </c>
      <c r="C311" s="27">
        <v>117.2500278324551</v>
      </c>
      <c r="D311" s="27">
        <v>50.01258272106449</v>
      </c>
      <c r="E311" s="27">
        <v>901.88819574991862</v>
      </c>
      <c r="F311" s="27">
        <v>1501.8955555555556</v>
      </c>
      <c r="G311" s="27">
        <v>1780</v>
      </c>
      <c r="H311" s="27">
        <v>649.21527777777783</v>
      </c>
      <c r="I311" s="27">
        <v>388.48722222222221</v>
      </c>
    </row>
    <row r="312" spans="1:9" x14ac:dyDescent="0.2">
      <c r="A312" s="23">
        <v>45670.5</v>
      </c>
      <c r="B312" s="25">
        <v>45670.5</v>
      </c>
      <c r="C312" s="27">
        <v>34.075861112806535</v>
      </c>
      <c r="D312" s="27">
        <v>14.41855537030432</v>
      </c>
      <c r="E312" s="27">
        <v>902.44922390407987</v>
      </c>
      <c r="F312" s="27">
        <v>432.69083333333333</v>
      </c>
      <c r="G312" s="27">
        <v>1780</v>
      </c>
      <c r="H312" s="27">
        <v>639.34861111111115</v>
      </c>
      <c r="I312" s="27">
        <v>111.81638888888889</v>
      </c>
    </row>
    <row r="313" spans="1:9" x14ac:dyDescent="0.2">
      <c r="A313" s="23">
        <v>45670.541666666664</v>
      </c>
      <c r="B313" s="25">
        <v>45670.541666666664</v>
      </c>
      <c r="C313" s="27">
        <v>0</v>
      </c>
      <c r="D313" s="27">
        <v>0</v>
      </c>
      <c r="E313" s="27">
        <v>902.566650390625</v>
      </c>
      <c r="F313" s="27">
        <v>0</v>
      </c>
      <c r="G313" s="27">
        <v>1780</v>
      </c>
      <c r="H313" s="27">
        <v>639.87222222222226</v>
      </c>
      <c r="I313" s="27">
        <v>0</v>
      </c>
    </row>
    <row r="314" spans="1:9" x14ac:dyDescent="0.2">
      <c r="A314" s="23">
        <v>45670.583333333336</v>
      </c>
      <c r="B314" s="25">
        <v>45670.583333333336</v>
      </c>
      <c r="C314" s="27">
        <v>0</v>
      </c>
      <c r="D314" s="27">
        <v>0</v>
      </c>
      <c r="E314" s="27">
        <v>902.566650390625</v>
      </c>
      <c r="F314" s="27">
        <v>0</v>
      </c>
      <c r="G314" s="27">
        <v>1780</v>
      </c>
      <c r="H314" s="27">
        <v>639.05999999999995</v>
      </c>
      <c r="I314" s="27">
        <v>8.8888888888888889E-3</v>
      </c>
    </row>
    <row r="315" spans="1:9" x14ac:dyDescent="0.2">
      <c r="A315" s="23">
        <v>45670.625</v>
      </c>
      <c r="B315" s="25">
        <v>45670.625</v>
      </c>
      <c r="C315" s="27">
        <v>0</v>
      </c>
      <c r="D315" s="27">
        <v>0</v>
      </c>
      <c r="E315" s="27">
        <v>902.566650390625</v>
      </c>
      <c r="F315" s="27">
        <v>0</v>
      </c>
      <c r="G315" s="27">
        <v>1780</v>
      </c>
      <c r="H315" s="27">
        <v>636.06138888888893</v>
      </c>
      <c r="I315" s="27">
        <v>4.4444444444444444E-3</v>
      </c>
    </row>
    <row r="316" spans="1:9" x14ac:dyDescent="0.2">
      <c r="A316" s="23">
        <v>45670.666666666664</v>
      </c>
      <c r="B316" s="25">
        <v>45670.666666666664</v>
      </c>
      <c r="C316" s="27">
        <v>0</v>
      </c>
      <c r="D316" s="27">
        <v>0</v>
      </c>
      <c r="E316" s="27">
        <v>902.566650390625</v>
      </c>
      <c r="F316" s="27">
        <v>0</v>
      </c>
      <c r="G316" s="27">
        <v>1556.8208333333334</v>
      </c>
      <c r="H316" s="27">
        <v>639.09444444444443</v>
      </c>
      <c r="I316" s="27">
        <v>4.4444444444444444E-3</v>
      </c>
    </row>
    <row r="317" spans="1:9" x14ac:dyDescent="0.2">
      <c r="A317" s="23">
        <v>45670.708333333336</v>
      </c>
      <c r="B317" s="25">
        <v>45670.708333333336</v>
      </c>
      <c r="C317" s="27">
        <v>0</v>
      </c>
      <c r="D317" s="27">
        <v>0</v>
      </c>
      <c r="E317" s="27">
        <v>902.566650390625</v>
      </c>
      <c r="F317" s="27">
        <v>0</v>
      </c>
      <c r="G317" s="27">
        <v>1331</v>
      </c>
      <c r="H317" s="27">
        <v>639.57833333333338</v>
      </c>
      <c r="I317" s="27">
        <v>4.4444444444444444E-3</v>
      </c>
    </row>
    <row r="318" spans="1:9" x14ac:dyDescent="0.2">
      <c r="A318" s="23">
        <v>45670.75</v>
      </c>
      <c r="B318" s="25">
        <v>45670.75</v>
      </c>
      <c r="C318" s="27">
        <v>0</v>
      </c>
      <c r="D318" s="27">
        <v>0</v>
      </c>
      <c r="E318" s="27">
        <v>902.566650390625</v>
      </c>
      <c r="F318" s="27">
        <v>0</v>
      </c>
      <c r="G318" s="27">
        <v>1400</v>
      </c>
      <c r="H318" s="27">
        <v>640.57944444444445</v>
      </c>
      <c r="I318" s="27">
        <v>4.4444444444444444E-3</v>
      </c>
    </row>
    <row r="319" spans="1:9" x14ac:dyDescent="0.2">
      <c r="A319" s="23">
        <v>45670.791666666664</v>
      </c>
      <c r="B319" s="25">
        <v>45670.791666666664</v>
      </c>
      <c r="C319" s="27">
        <v>13.841222241719564</v>
      </c>
      <c r="D319" s="27">
        <v>4.4723054147594503</v>
      </c>
      <c r="E319" s="27">
        <v>902.58217305501307</v>
      </c>
      <c r="F319" s="27">
        <v>134.59027777777777</v>
      </c>
      <c r="G319" s="27">
        <v>1400</v>
      </c>
      <c r="H319" s="27">
        <v>641.35777777777776</v>
      </c>
      <c r="I319" s="27">
        <v>34.683055555555555</v>
      </c>
    </row>
    <row r="320" spans="1:9" x14ac:dyDescent="0.2">
      <c r="A320" s="23">
        <v>45670.833333333336</v>
      </c>
      <c r="B320" s="25">
        <v>45670.833333333336</v>
      </c>
      <c r="C320" s="27">
        <v>0</v>
      </c>
      <c r="D320" s="27">
        <v>0</v>
      </c>
      <c r="E320" s="27">
        <v>902.66668701171875</v>
      </c>
      <c r="F320" s="27">
        <v>0</v>
      </c>
      <c r="G320" s="27">
        <v>1400</v>
      </c>
      <c r="H320" s="27">
        <v>634.1583333333333</v>
      </c>
      <c r="I320" s="27">
        <v>1.3333333333333334E-2</v>
      </c>
    </row>
    <row r="321" spans="1:9" x14ac:dyDescent="0.2">
      <c r="A321" s="23">
        <v>45670.875</v>
      </c>
      <c r="B321" s="25">
        <v>45670.875</v>
      </c>
      <c r="C321" s="27">
        <v>102.35672223409017</v>
      </c>
      <c r="D321" s="27">
        <v>26.912776932385231</v>
      </c>
      <c r="E321" s="27">
        <v>902.83448170979818</v>
      </c>
      <c r="F321" s="27">
        <v>808.5669444444444</v>
      </c>
      <c r="G321" s="27">
        <v>1406.8333333333333</v>
      </c>
      <c r="H321" s="27">
        <v>635.66416666666669</v>
      </c>
      <c r="I321" s="27">
        <v>209.01888888888888</v>
      </c>
    </row>
    <row r="322" spans="1:9" x14ac:dyDescent="0.2">
      <c r="A322" s="23">
        <v>45670.916666666664</v>
      </c>
      <c r="B322" s="25">
        <v>45670.916666666664</v>
      </c>
      <c r="C322" s="27">
        <v>180.5207221645779</v>
      </c>
      <c r="D322" s="27">
        <v>56.509388125737509</v>
      </c>
      <c r="E322" s="27">
        <v>903.75967580159511</v>
      </c>
      <c r="F322" s="27">
        <v>1696.2783333333334</v>
      </c>
      <c r="G322" s="27">
        <v>1696.3</v>
      </c>
      <c r="H322" s="27">
        <v>631.97611111111109</v>
      </c>
      <c r="I322" s="27">
        <v>437.23055555555555</v>
      </c>
    </row>
    <row r="323" spans="1:9" x14ac:dyDescent="0.2">
      <c r="A323" s="23">
        <v>45670.958333333336</v>
      </c>
      <c r="B323" s="25">
        <v>45670.958333333336</v>
      </c>
      <c r="C323" s="27">
        <v>160.44986119164361</v>
      </c>
      <c r="D323" s="27">
        <v>51.508638226191202</v>
      </c>
      <c r="E323" s="27">
        <v>904.76706232706704</v>
      </c>
      <c r="F323" s="27">
        <v>1546.4077777777777</v>
      </c>
      <c r="G323" s="27">
        <v>1780</v>
      </c>
      <c r="H323" s="27">
        <v>632.95416666666665</v>
      </c>
      <c r="I323" s="27">
        <v>397.92638888888888</v>
      </c>
    </row>
    <row r="324" spans="1:9" x14ac:dyDescent="0.2">
      <c r="A324" s="23">
        <v>45671</v>
      </c>
      <c r="B324" s="25">
        <v>45671</v>
      </c>
      <c r="C324" s="27">
        <v>109.7540277422799</v>
      </c>
      <c r="D324" s="27">
        <v>35.688471765567861</v>
      </c>
      <c r="E324" s="27">
        <v>905.33301086425786</v>
      </c>
      <c r="F324" s="27">
        <v>1072.2097222222221</v>
      </c>
      <c r="G324" s="27">
        <v>1780</v>
      </c>
      <c r="H324" s="27">
        <v>636.97305555555556</v>
      </c>
      <c r="I324" s="27">
        <v>276.1872222222222</v>
      </c>
    </row>
    <row r="325" spans="1:9" x14ac:dyDescent="0.2">
      <c r="A325" s="23">
        <v>45671.041666666664</v>
      </c>
      <c r="B325" s="25">
        <v>45671.041666666664</v>
      </c>
      <c r="C325" s="27">
        <v>181.65016677856445</v>
      </c>
      <c r="D325" s="27">
        <v>59.299999237060547</v>
      </c>
      <c r="E325" s="27">
        <v>906.2679998779297</v>
      </c>
      <c r="F325" s="27">
        <v>1779.9988888888888</v>
      </c>
      <c r="G325" s="27">
        <v>1780</v>
      </c>
      <c r="H325" s="27">
        <v>635.90777777777782</v>
      </c>
      <c r="I325" s="27">
        <v>459.14249999999998</v>
      </c>
    </row>
    <row r="326" spans="1:9" x14ac:dyDescent="0.2">
      <c r="A326" s="23">
        <v>45671.083333333336</v>
      </c>
      <c r="B326" s="25">
        <v>45671.083333333336</v>
      </c>
      <c r="C326" s="27">
        <v>176.08913892957898</v>
      </c>
      <c r="D326" s="27">
        <v>59.299999237060547</v>
      </c>
      <c r="E326" s="27">
        <v>907.28494425455733</v>
      </c>
      <c r="F326" s="27">
        <v>1779.9830555555557</v>
      </c>
      <c r="G326" s="27">
        <v>1780</v>
      </c>
      <c r="H326" s="27">
        <v>638.6925</v>
      </c>
      <c r="I326" s="27">
        <v>459.61</v>
      </c>
    </row>
    <row r="327" spans="1:9" x14ac:dyDescent="0.2">
      <c r="A327" s="23">
        <v>45671.125</v>
      </c>
      <c r="B327" s="25">
        <v>45671.125</v>
      </c>
      <c r="C327" s="27">
        <v>124.13616658868061</v>
      </c>
      <c r="D327" s="27">
        <v>41.947416129592391</v>
      </c>
      <c r="E327" s="27">
        <v>908.10441904703771</v>
      </c>
      <c r="F327" s="27">
        <v>1259.0922222222223</v>
      </c>
      <c r="G327" s="27">
        <v>1780</v>
      </c>
      <c r="H327" s="27">
        <v>633.92944444444447</v>
      </c>
      <c r="I327" s="27">
        <v>324.4447222222222</v>
      </c>
    </row>
    <row r="328" spans="1:9" x14ac:dyDescent="0.2">
      <c r="A328" s="23">
        <v>45671.166666666664</v>
      </c>
      <c r="B328" s="25">
        <v>45671.166666666664</v>
      </c>
      <c r="C328" s="27">
        <v>145.76605559455024</v>
      </c>
      <c r="D328" s="27">
        <v>52.216943772633869</v>
      </c>
      <c r="E328" s="27">
        <v>909.02339050292971</v>
      </c>
      <c r="F328" s="27">
        <v>1567.7630555555556</v>
      </c>
      <c r="G328" s="27">
        <v>1780</v>
      </c>
      <c r="H328" s="27">
        <v>637.00055555555559</v>
      </c>
      <c r="I328" s="27">
        <v>404.36666666666667</v>
      </c>
    </row>
    <row r="329" spans="1:9" x14ac:dyDescent="0.2">
      <c r="A329" s="23">
        <v>45671.208333333336</v>
      </c>
      <c r="B329" s="25">
        <v>45671.208333333336</v>
      </c>
      <c r="C329" s="27">
        <v>0</v>
      </c>
      <c r="D329" s="27">
        <v>0</v>
      </c>
      <c r="E329" s="27">
        <v>909.41668701171875</v>
      </c>
      <c r="F329" s="27">
        <v>0</v>
      </c>
      <c r="G329" s="27">
        <v>1780</v>
      </c>
      <c r="H329" s="27">
        <v>635.02027777777778</v>
      </c>
      <c r="I329" s="27">
        <v>1.3333333333333334E-2</v>
      </c>
    </row>
    <row r="330" spans="1:9" x14ac:dyDescent="0.2">
      <c r="A330" s="23">
        <v>45671.25</v>
      </c>
      <c r="B330" s="25">
        <v>45671.25</v>
      </c>
      <c r="C330" s="27">
        <v>0</v>
      </c>
      <c r="D330" s="27">
        <v>0</v>
      </c>
      <c r="E330" s="27">
        <v>909.41668701171875</v>
      </c>
      <c r="F330" s="27">
        <v>0</v>
      </c>
      <c r="G330" s="27">
        <v>1780</v>
      </c>
      <c r="H330" s="27">
        <v>632.47249999999997</v>
      </c>
      <c r="I330" s="27">
        <v>0</v>
      </c>
    </row>
    <row r="331" spans="1:9" x14ac:dyDescent="0.2">
      <c r="A331" s="23">
        <v>45671.291666666664</v>
      </c>
      <c r="B331" s="25">
        <v>45671.291666666664</v>
      </c>
      <c r="C331" s="27">
        <v>0</v>
      </c>
      <c r="D331" s="27">
        <v>0</v>
      </c>
      <c r="E331" s="27">
        <v>909.41668701171875</v>
      </c>
      <c r="F331" s="27">
        <v>0</v>
      </c>
      <c r="G331" s="27">
        <v>1780</v>
      </c>
      <c r="H331" s="27">
        <v>631.95055555555552</v>
      </c>
      <c r="I331" s="27">
        <v>4.4444444444444444E-3</v>
      </c>
    </row>
    <row r="332" spans="1:9" x14ac:dyDescent="0.2">
      <c r="A332" s="23">
        <v>45671.333333333336</v>
      </c>
      <c r="B332" s="25">
        <v>45671.333333333336</v>
      </c>
      <c r="C332" s="27">
        <v>0</v>
      </c>
      <c r="D332" s="27">
        <v>0</v>
      </c>
      <c r="E332" s="27">
        <v>909.41668701171875</v>
      </c>
      <c r="F332" s="27">
        <v>0</v>
      </c>
      <c r="G332" s="27">
        <v>1780</v>
      </c>
      <c r="H332" s="27">
        <v>634.30333333333328</v>
      </c>
      <c r="I332" s="27">
        <v>0</v>
      </c>
    </row>
    <row r="333" spans="1:9" x14ac:dyDescent="0.2">
      <c r="A333" s="23">
        <v>45671.375</v>
      </c>
      <c r="B333" s="25">
        <v>45671.375</v>
      </c>
      <c r="C333" s="27">
        <v>0</v>
      </c>
      <c r="D333" s="27">
        <v>0</v>
      </c>
      <c r="E333" s="27">
        <v>909.41668701171875</v>
      </c>
      <c r="F333" s="27">
        <v>0</v>
      </c>
      <c r="G333" s="27">
        <v>1780</v>
      </c>
      <c r="H333" s="27">
        <v>631.28611111111115</v>
      </c>
      <c r="I333" s="27">
        <v>1.3333333333333334E-2</v>
      </c>
    </row>
    <row r="334" spans="1:9" x14ac:dyDescent="0.2">
      <c r="A334" s="23">
        <v>45671.416666666664</v>
      </c>
      <c r="B334" s="25">
        <v>45671.416666666664</v>
      </c>
      <c r="C334" s="27">
        <v>0</v>
      </c>
      <c r="D334" s="27">
        <v>0</v>
      </c>
      <c r="E334" s="27">
        <v>909.41668701171875</v>
      </c>
      <c r="F334" s="27">
        <v>0</v>
      </c>
      <c r="G334" s="27">
        <v>1780</v>
      </c>
      <c r="H334" s="27">
        <v>631.74249999999995</v>
      </c>
      <c r="I334" s="27">
        <v>0</v>
      </c>
    </row>
    <row r="335" spans="1:9" x14ac:dyDescent="0.2">
      <c r="A335" s="23">
        <v>45671.458333333336</v>
      </c>
      <c r="B335" s="25">
        <v>45671.458333333336</v>
      </c>
      <c r="C335" s="27">
        <v>0</v>
      </c>
      <c r="D335" s="27">
        <v>0</v>
      </c>
      <c r="E335" s="27">
        <v>909.41668701171875</v>
      </c>
      <c r="F335" s="27">
        <v>0</v>
      </c>
      <c r="G335" s="27">
        <v>1780</v>
      </c>
      <c r="H335" s="27">
        <v>630.77472222222218</v>
      </c>
      <c r="I335" s="27">
        <v>4.4444444444444444E-3</v>
      </c>
    </row>
    <row r="336" spans="1:9" x14ac:dyDescent="0.2">
      <c r="A336" s="23">
        <v>45671.5</v>
      </c>
      <c r="B336" s="25">
        <v>45671.5</v>
      </c>
      <c r="C336" s="27">
        <v>0</v>
      </c>
      <c r="D336" s="27">
        <v>0</v>
      </c>
      <c r="E336" s="27">
        <v>909.41668701171875</v>
      </c>
      <c r="F336" s="27">
        <v>0</v>
      </c>
      <c r="G336" s="27">
        <v>1780</v>
      </c>
      <c r="H336" s="27">
        <v>633.98611111111109</v>
      </c>
      <c r="I336" s="27">
        <v>4.4444444444444444E-3</v>
      </c>
    </row>
    <row r="337" spans="1:9" x14ac:dyDescent="0.2">
      <c r="A337" s="23">
        <v>45671.541666666664</v>
      </c>
      <c r="B337" s="25">
        <v>45671.541666666664</v>
      </c>
      <c r="C337" s="27">
        <v>0</v>
      </c>
      <c r="D337" s="27">
        <v>0</v>
      </c>
      <c r="E337" s="27">
        <v>909.41668701171875</v>
      </c>
      <c r="F337" s="27">
        <v>0</v>
      </c>
      <c r="G337" s="27">
        <v>1780</v>
      </c>
      <c r="H337" s="27">
        <v>637.82027777777773</v>
      </c>
      <c r="I337" s="27">
        <v>0</v>
      </c>
    </row>
    <row r="338" spans="1:9" x14ac:dyDescent="0.2">
      <c r="A338" s="23">
        <v>45671.583333333336</v>
      </c>
      <c r="B338" s="25">
        <v>45671.583333333336</v>
      </c>
      <c r="C338" s="27">
        <v>0</v>
      </c>
      <c r="D338" s="27">
        <v>0</v>
      </c>
      <c r="E338" s="27">
        <v>909.41668701171875</v>
      </c>
      <c r="F338" s="27">
        <v>0</v>
      </c>
      <c r="G338" s="27">
        <v>1780</v>
      </c>
      <c r="H338" s="27">
        <v>634.6008333333333</v>
      </c>
      <c r="I338" s="27">
        <v>4.4444444444444444E-3</v>
      </c>
    </row>
    <row r="339" spans="1:9" x14ac:dyDescent="0.2">
      <c r="A339" s="23">
        <v>45671.625</v>
      </c>
      <c r="B339" s="25">
        <v>45671.625</v>
      </c>
      <c r="C339" s="27">
        <v>55.873305532667374</v>
      </c>
      <c r="D339" s="27">
        <v>20.876666400697495</v>
      </c>
      <c r="E339" s="27">
        <v>909.5405786471897</v>
      </c>
      <c r="F339" s="27">
        <v>626.63833333333332</v>
      </c>
      <c r="G339" s="27">
        <v>1780</v>
      </c>
      <c r="H339" s="27">
        <v>635.17111111111114</v>
      </c>
      <c r="I339" s="27">
        <v>161.58583333333334</v>
      </c>
    </row>
    <row r="340" spans="1:9" x14ac:dyDescent="0.2">
      <c r="A340" s="23">
        <v>45671.666666666664</v>
      </c>
      <c r="B340" s="25">
        <v>45671.666666666664</v>
      </c>
      <c r="C340" s="27">
        <v>71.13438885158962</v>
      </c>
      <c r="D340" s="27">
        <v>26.688610770503679</v>
      </c>
      <c r="E340" s="27">
        <v>909.89110673692494</v>
      </c>
      <c r="F340" s="27">
        <v>801.55277777777781</v>
      </c>
      <c r="G340" s="27">
        <v>1780</v>
      </c>
      <c r="H340" s="27">
        <v>638.81444444444446</v>
      </c>
      <c r="I340" s="27">
        <v>206.95805555555555</v>
      </c>
    </row>
    <row r="341" spans="1:9" x14ac:dyDescent="0.2">
      <c r="A341" s="23">
        <v>45671.708333333336</v>
      </c>
      <c r="B341" s="25">
        <v>45671.708333333336</v>
      </c>
      <c r="C341" s="27">
        <v>157.63461105770534</v>
      </c>
      <c r="D341" s="27">
        <v>59.299999237060547</v>
      </c>
      <c r="E341" s="27">
        <v>910.75938876681857</v>
      </c>
      <c r="F341" s="27">
        <v>1779.8891666666666</v>
      </c>
      <c r="G341" s="27">
        <v>1780</v>
      </c>
      <c r="H341" s="27">
        <v>640.48638888888888</v>
      </c>
      <c r="I341" s="27">
        <v>459.89694444444444</v>
      </c>
    </row>
    <row r="342" spans="1:9" x14ac:dyDescent="0.2">
      <c r="A342" s="23">
        <v>45671.75</v>
      </c>
      <c r="B342" s="25">
        <v>45671.75</v>
      </c>
      <c r="C342" s="27">
        <v>155.41147211286756</v>
      </c>
      <c r="D342" s="27">
        <v>59.299999237060547</v>
      </c>
      <c r="E342" s="27">
        <v>911.77632851494684</v>
      </c>
      <c r="F342" s="27">
        <v>1779.9333333333334</v>
      </c>
      <c r="G342" s="27">
        <v>1780</v>
      </c>
      <c r="H342" s="27">
        <v>641.95833333333337</v>
      </c>
      <c r="I342" s="27">
        <v>460.02555555555557</v>
      </c>
    </row>
    <row r="343" spans="1:9" x14ac:dyDescent="0.2">
      <c r="A343" s="23">
        <v>45671.791666666664</v>
      </c>
      <c r="B343" s="25">
        <v>45671.791666666664</v>
      </c>
      <c r="C343" s="27">
        <v>132.16255559709336</v>
      </c>
      <c r="D343" s="27">
        <v>50.569721571604411</v>
      </c>
      <c r="E343" s="27">
        <v>912.78131747775603</v>
      </c>
      <c r="F343" s="27">
        <v>1517.7725</v>
      </c>
      <c r="G343" s="27">
        <v>1780</v>
      </c>
      <c r="H343" s="27">
        <v>641.9616666666667</v>
      </c>
      <c r="I343" s="27">
        <v>392.40722222222223</v>
      </c>
    </row>
    <row r="344" spans="1:9" x14ac:dyDescent="0.2">
      <c r="A344" s="23">
        <v>45671.833333333336</v>
      </c>
      <c r="B344" s="25">
        <v>45671.833333333336</v>
      </c>
      <c r="C344" s="27">
        <v>0</v>
      </c>
      <c r="D344" s="27">
        <v>0</v>
      </c>
      <c r="E344" s="27">
        <v>913.1500244140625</v>
      </c>
      <c r="F344" s="27">
        <v>0</v>
      </c>
      <c r="G344" s="27">
        <v>1780</v>
      </c>
      <c r="H344" s="27">
        <v>638.13166666666666</v>
      </c>
      <c r="I344" s="27">
        <v>4.4444444444444444E-3</v>
      </c>
    </row>
    <row r="345" spans="1:9" x14ac:dyDescent="0.2">
      <c r="A345" s="23">
        <v>45671.875</v>
      </c>
      <c r="B345" s="25">
        <v>45671.875</v>
      </c>
      <c r="C345" s="27">
        <v>133.8534721247355</v>
      </c>
      <c r="D345" s="27">
        <v>50.525888241463235</v>
      </c>
      <c r="E345" s="27">
        <v>913.51576390584307</v>
      </c>
      <c r="F345" s="27">
        <v>1516.5316666666668</v>
      </c>
      <c r="G345" s="27">
        <v>1780</v>
      </c>
      <c r="H345" s="27">
        <v>642.55166666666662</v>
      </c>
      <c r="I345" s="27">
        <v>392.05250000000001</v>
      </c>
    </row>
    <row r="346" spans="1:9" x14ac:dyDescent="0.2">
      <c r="A346" s="23">
        <v>45671.916666666664</v>
      </c>
      <c r="B346" s="25">
        <v>45671.916666666664</v>
      </c>
      <c r="C346" s="27">
        <v>88.763888935512966</v>
      </c>
      <c r="D346" s="27">
        <v>36.535388418833413</v>
      </c>
      <c r="E346" s="27">
        <v>914.44611592610681</v>
      </c>
      <c r="F346" s="27">
        <v>1097.048888888889</v>
      </c>
      <c r="G346" s="27">
        <v>1780</v>
      </c>
      <c r="H346" s="27">
        <v>640.71444444444444</v>
      </c>
      <c r="I346" s="27">
        <v>283.55472222222221</v>
      </c>
    </row>
    <row r="347" spans="1:9" x14ac:dyDescent="0.2">
      <c r="A347" s="23">
        <v>45671.958333333336</v>
      </c>
      <c r="B347" s="25">
        <v>45671.958333333336</v>
      </c>
      <c r="C347" s="27">
        <v>17.166138878292923</v>
      </c>
      <c r="D347" s="27">
        <v>7.2234721317038764</v>
      </c>
      <c r="E347" s="27">
        <v>914.64287801106775</v>
      </c>
      <c r="F347" s="27">
        <v>216.83805555555554</v>
      </c>
      <c r="G347" s="27">
        <v>1780</v>
      </c>
      <c r="H347" s="27">
        <v>640.05027777777775</v>
      </c>
      <c r="I347" s="27">
        <v>56.093055555555559</v>
      </c>
    </row>
    <row r="348" spans="1:9" x14ac:dyDescent="0.2">
      <c r="A348" s="23">
        <v>45672</v>
      </c>
      <c r="B348" s="25">
        <v>45672</v>
      </c>
      <c r="C348" s="27">
        <v>0</v>
      </c>
      <c r="D348" s="27">
        <v>0</v>
      </c>
      <c r="E348" s="27">
        <v>914.76666259765625</v>
      </c>
      <c r="F348" s="27">
        <v>0</v>
      </c>
      <c r="G348" s="27">
        <v>1780</v>
      </c>
      <c r="H348" s="27">
        <v>641.09027777777783</v>
      </c>
      <c r="I348" s="27">
        <v>1.3333333333333334E-2</v>
      </c>
    </row>
    <row r="349" spans="1:9" x14ac:dyDescent="0.2">
      <c r="A349" s="23">
        <v>45672.041666666664</v>
      </c>
      <c r="B349" s="25">
        <v>45672.041666666664</v>
      </c>
      <c r="C349" s="27">
        <v>0</v>
      </c>
      <c r="D349" s="27">
        <v>0</v>
      </c>
      <c r="E349" s="27">
        <v>914.76666259765625</v>
      </c>
      <c r="F349" s="27">
        <v>0</v>
      </c>
      <c r="G349" s="27">
        <v>1780</v>
      </c>
      <c r="H349" s="27">
        <v>640.51777777777772</v>
      </c>
      <c r="I349" s="27">
        <v>4.4444444444444444E-3</v>
      </c>
    </row>
    <row r="350" spans="1:9" x14ac:dyDescent="0.2">
      <c r="A350" s="23">
        <v>45672.083333333336</v>
      </c>
      <c r="B350" s="25">
        <v>45672.083333333336</v>
      </c>
      <c r="C350" s="27">
        <v>0</v>
      </c>
      <c r="D350" s="27">
        <v>0</v>
      </c>
      <c r="E350" s="27">
        <v>914.76666259765625</v>
      </c>
      <c r="F350" s="27">
        <v>0</v>
      </c>
      <c r="G350" s="27">
        <v>1780</v>
      </c>
      <c r="H350" s="27">
        <v>643.14083333333338</v>
      </c>
      <c r="I350" s="27">
        <v>0</v>
      </c>
    </row>
    <row r="351" spans="1:9" x14ac:dyDescent="0.2">
      <c r="A351" s="23">
        <v>45672.125</v>
      </c>
      <c r="B351" s="25">
        <v>45672.125</v>
      </c>
      <c r="C351" s="27">
        <v>0</v>
      </c>
      <c r="D351" s="27">
        <v>0</v>
      </c>
      <c r="E351" s="27">
        <v>914.76666259765625</v>
      </c>
      <c r="F351" s="27">
        <v>0</v>
      </c>
      <c r="G351" s="27">
        <v>1780</v>
      </c>
      <c r="H351" s="27">
        <v>639.95805555555557</v>
      </c>
      <c r="I351" s="27">
        <v>0</v>
      </c>
    </row>
    <row r="352" spans="1:9" x14ac:dyDescent="0.2">
      <c r="A352" s="23">
        <v>45672.166666666664</v>
      </c>
      <c r="B352" s="25">
        <v>45672.166666666664</v>
      </c>
      <c r="C352" s="27">
        <v>0</v>
      </c>
      <c r="D352" s="27">
        <v>0</v>
      </c>
      <c r="E352" s="27">
        <v>914.76666259765625</v>
      </c>
      <c r="F352" s="27">
        <v>0</v>
      </c>
      <c r="G352" s="27">
        <v>1780</v>
      </c>
      <c r="H352" s="27">
        <v>641.06527777777774</v>
      </c>
      <c r="I352" s="27">
        <v>4.4444444444444444E-3</v>
      </c>
    </row>
    <row r="353" spans="1:9" x14ac:dyDescent="0.2">
      <c r="A353" s="23">
        <v>45672.208333333336</v>
      </c>
      <c r="B353" s="25">
        <v>45672.208333333336</v>
      </c>
      <c r="C353" s="27">
        <v>0</v>
      </c>
      <c r="D353" s="27">
        <v>0</v>
      </c>
      <c r="E353" s="27">
        <v>914.76666259765625</v>
      </c>
      <c r="F353" s="27">
        <v>0</v>
      </c>
      <c r="G353" s="27">
        <v>1780</v>
      </c>
      <c r="H353" s="27">
        <v>640.89194444444445</v>
      </c>
      <c r="I353" s="27">
        <v>0</v>
      </c>
    </row>
    <row r="354" spans="1:9" x14ac:dyDescent="0.2">
      <c r="A354" s="23">
        <v>45672.25</v>
      </c>
      <c r="B354" s="25">
        <v>45672.25</v>
      </c>
      <c r="C354" s="27">
        <v>0</v>
      </c>
      <c r="D354" s="27">
        <v>0</v>
      </c>
      <c r="E354" s="27">
        <v>914.76666259765625</v>
      </c>
      <c r="F354" s="27">
        <v>0</v>
      </c>
      <c r="G354" s="27">
        <v>1780</v>
      </c>
      <c r="H354" s="27">
        <v>639.51777777777772</v>
      </c>
      <c r="I354" s="27">
        <v>4.4444444444444444E-3</v>
      </c>
    </row>
    <row r="355" spans="1:9" x14ac:dyDescent="0.2">
      <c r="A355" s="23">
        <v>45672.291666666664</v>
      </c>
      <c r="B355" s="25">
        <v>45672.291666666664</v>
      </c>
      <c r="C355" s="27">
        <v>0</v>
      </c>
      <c r="D355" s="27">
        <v>0</v>
      </c>
      <c r="E355" s="27">
        <v>914.76666259765625</v>
      </c>
      <c r="F355" s="27">
        <v>0</v>
      </c>
      <c r="G355" s="27">
        <v>1780</v>
      </c>
      <c r="H355" s="27">
        <v>638.22361111111115</v>
      </c>
      <c r="I355" s="27">
        <v>0</v>
      </c>
    </row>
    <row r="356" spans="1:9" x14ac:dyDescent="0.2">
      <c r="A356" s="23">
        <v>45672.333333333336</v>
      </c>
      <c r="B356" s="25">
        <v>45672.333333333336</v>
      </c>
      <c r="C356" s="27">
        <v>0</v>
      </c>
      <c r="D356" s="27">
        <v>0</v>
      </c>
      <c r="E356" s="27">
        <v>914.76666259765625</v>
      </c>
      <c r="F356" s="27">
        <v>0</v>
      </c>
      <c r="G356" s="27">
        <v>1780</v>
      </c>
      <c r="H356" s="27">
        <v>637.62416666666661</v>
      </c>
      <c r="I356" s="27">
        <v>4.4444444444444444E-3</v>
      </c>
    </row>
    <row r="357" spans="1:9" x14ac:dyDescent="0.2">
      <c r="A357" s="23">
        <v>45672.375</v>
      </c>
      <c r="B357" s="25">
        <v>45672.375</v>
      </c>
      <c r="C357" s="27">
        <v>0</v>
      </c>
      <c r="D357" s="27">
        <v>0</v>
      </c>
      <c r="E357" s="27">
        <v>914.76666259765625</v>
      </c>
      <c r="F357" s="27">
        <v>0</v>
      </c>
      <c r="G357" s="27">
        <v>1780</v>
      </c>
      <c r="H357" s="27">
        <v>639.18333333333328</v>
      </c>
      <c r="I357" s="27">
        <v>4.4444444444444444E-3</v>
      </c>
    </row>
    <row r="358" spans="1:9" x14ac:dyDescent="0.2">
      <c r="A358" s="23">
        <v>45672.416666666664</v>
      </c>
      <c r="B358" s="25">
        <v>45672.416666666664</v>
      </c>
      <c r="C358" s="27">
        <v>0</v>
      </c>
      <c r="D358" s="27">
        <v>0</v>
      </c>
      <c r="E358" s="27">
        <v>914.76666259765625</v>
      </c>
      <c r="F358" s="27">
        <v>0</v>
      </c>
      <c r="G358" s="27">
        <v>1780</v>
      </c>
      <c r="H358" s="27">
        <v>638.21</v>
      </c>
      <c r="I358" s="27">
        <v>4.4444444444444444E-3</v>
      </c>
    </row>
    <row r="359" spans="1:9" x14ac:dyDescent="0.2">
      <c r="A359" s="23">
        <v>45672.458333333336</v>
      </c>
      <c r="B359" s="25">
        <v>45672.458333333336</v>
      </c>
      <c r="C359" s="27">
        <v>0</v>
      </c>
      <c r="D359" s="27">
        <v>0</v>
      </c>
      <c r="E359" s="27">
        <v>914.76666259765625</v>
      </c>
      <c r="F359" s="27">
        <v>0</v>
      </c>
      <c r="G359" s="27">
        <v>1780</v>
      </c>
      <c r="H359" s="27">
        <v>636.92250000000001</v>
      </c>
      <c r="I359" s="27">
        <v>8.8888888888888889E-3</v>
      </c>
    </row>
    <row r="360" spans="1:9" x14ac:dyDescent="0.2">
      <c r="A360" s="23">
        <v>45672.5</v>
      </c>
      <c r="B360" s="25">
        <v>45672.5</v>
      </c>
      <c r="C360" s="27">
        <v>0</v>
      </c>
      <c r="D360" s="27">
        <v>0</v>
      </c>
      <c r="E360" s="27">
        <v>914.76666259765625</v>
      </c>
      <c r="F360" s="27">
        <v>0</v>
      </c>
      <c r="G360" s="27">
        <v>1780</v>
      </c>
      <c r="H360" s="27">
        <v>637.22611111111109</v>
      </c>
      <c r="I360" s="27">
        <v>0</v>
      </c>
    </row>
    <row r="361" spans="1:9" x14ac:dyDescent="0.2">
      <c r="A361" s="23">
        <v>45672.541666666664</v>
      </c>
      <c r="B361" s="25">
        <v>45672.541666666664</v>
      </c>
      <c r="C361" s="27">
        <v>0</v>
      </c>
      <c r="D361" s="27">
        <v>0</v>
      </c>
      <c r="E361" s="27">
        <v>914.76666259765625</v>
      </c>
      <c r="F361" s="27">
        <v>0</v>
      </c>
      <c r="G361" s="27">
        <v>1780</v>
      </c>
      <c r="H361" s="27">
        <v>639.48440424204614</v>
      </c>
      <c r="I361" s="27">
        <v>9.9812850904553961E-3</v>
      </c>
    </row>
    <row r="362" spans="1:9" x14ac:dyDescent="0.2">
      <c r="A362" s="23">
        <v>45672.583333333336</v>
      </c>
      <c r="B362" s="25">
        <v>45672.583333333336</v>
      </c>
      <c r="C362" s="27">
        <v>0</v>
      </c>
      <c r="D362" s="27">
        <v>0</v>
      </c>
      <c r="E362" s="27">
        <v>914.76666259765625</v>
      </c>
      <c r="F362" s="27">
        <v>0</v>
      </c>
      <c r="G362" s="27">
        <v>1780</v>
      </c>
      <c r="H362" s="27">
        <v>637.70638888888891</v>
      </c>
      <c r="I362" s="27">
        <v>0</v>
      </c>
    </row>
    <row r="363" spans="1:9" x14ac:dyDescent="0.2">
      <c r="A363" s="23">
        <v>45672.625</v>
      </c>
      <c r="B363" s="25">
        <v>45672.625</v>
      </c>
      <c r="C363" s="27">
        <v>0</v>
      </c>
      <c r="D363" s="27">
        <v>0</v>
      </c>
      <c r="E363" s="27">
        <v>914.76666259765625</v>
      </c>
      <c r="F363" s="27">
        <v>0</v>
      </c>
      <c r="G363" s="27">
        <v>1780</v>
      </c>
      <c r="H363" s="27">
        <v>636.55138888888894</v>
      </c>
      <c r="I363" s="27">
        <v>1.3333333333333334E-2</v>
      </c>
    </row>
    <row r="364" spans="1:9" x14ac:dyDescent="0.2">
      <c r="A364" s="23">
        <v>45672.666666666664</v>
      </c>
      <c r="B364" s="25">
        <v>45672.666666666664</v>
      </c>
      <c r="C364" s="27">
        <v>0</v>
      </c>
      <c r="D364" s="27">
        <v>0</v>
      </c>
      <c r="E364" s="27">
        <v>914.76666259765625</v>
      </c>
      <c r="F364" s="27">
        <v>0</v>
      </c>
      <c r="G364" s="27">
        <v>1780</v>
      </c>
      <c r="H364" s="27">
        <v>640.99861111111113</v>
      </c>
      <c r="I364" s="27">
        <v>4.4444444444444444E-3</v>
      </c>
    </row>
    <row r="365" spans="1:9" x14ac:dyDescent="0.2">
      <c r="A365" s="23">
        <v>45672.708333333336</v>
      </c>
      <c r="B365" s="25">
        <v>45672.708333333336</v>
      </c>
      <c r="C365" s="27">
        <v>0</v>
      </c>
      <c r="D365" s="27">
        <v>0</v>
      </c>
      <c r="E365" s="27">
        <v>914.76666259765625</v>
      </c>
      <c r="F365" s="27">
        <v>0</v>
      </c>
      <c r="G365" s="27">
        <v>1780</v>
      </c>
      <c r="H365" s="27">
        <v>639.42361111111109</v>
      </c>
      <c r="I365" s="27">
        <v>0</v>
      </c>
    </row>
    <row r="366" spans="1:9" x14ac:dyDescent="0.2">
      <c r="A366" s="23">
        <v>45672.75</v>
      </c>
      <c r="B366" s="25">
        <v>45672.75</v>
      </c>
      <c r="C366" s="27">
        <v>0</v>
      </c>
      <c r="D366" s="27">
        <v>0</v>
      </c>
      <c r="E366" s="27">
        <v>914.76666259765625</v>
      </c>
      <c r="F366" s="27">
        <v>0</v>
      </c>
      <c r="G366" s="27">
        <v>1780</v>
      </c>
      <c r="H366" s="27">
        <v>639.01</v>
      </c>
      <c r="I366" s="27">
        <v>0</v>
      </c>
    </row>
    <row r="367" spans="1:9" x14ac:dyDescent="0.2">
      <c r="A367" s="23">
        <v>45672.791666666664</v>
      </c>
      <c r="B367" s="25">
        <v>45672.791666666664</v>
      </c>
      <c r="C367" s="27">
        <v>0</v>
      </c>
      <c r="D367" s="27">
        <v>0</v>
      </c>
      <c r="E367" s="27">
        <v>914.76666259765625</v>
      </c>
      <c r="F367" s="27">
        <v>0</v>
      </c>
      <c r="G367" s="27">
        <v>1780</v>
      </c>
      <c r="H367" s="27">
        <v>639.45388888888886</v>
      </c>
      <c r="I367" s="27">
        <v>0</v>
      </c>
    </row>
    <row r="368" spans="1:9" x14ac:dyDescent="0.2">
      <c r="A368" s="23">
        <v>45672.833333333336</v>
      </c>
      <c r="B368" s="25">
        <v>45672.833333333336</v>
      </c>
      <c r="C368" s="27">
        <v>0</v>
      </c>
      <c r="D368" s="27">
        <v>0</v>
      </c>
      <c r="E368" s="27">
        <v>914.76666259765625</v>
      </c>
      <c r="F368" s="27">
        <v>0</v>
      </c>
      <c r="G368" s="27">
        <v>1780</v>
      </c>
      <c r="H368" s="27">
        <v>638.5869444444445</v>
      </c>
      <c r="I368" s="27">
        <v>4.4444444444444444E-3</v>
      </c>
    </row>
    <row r="369" spans="1:9" x14ac:dyDescent="0.2">
      <c r="A369" s="23">
        <v>45672.875</v>
      </c>
      <c r="B369" s="25">
        <v>45672.875</v>
      </c>
      <c r="C369" s="27">
        <v>0</v>
      </c>
      <c r="D369" s="27">
        <v>0</v>
      </c>
      <c r="E369" s="27">
        <v>914.76666259765625</v>
      </c>
      <c r="F369" s="27">
        <v>0</v>
      </c>
      <c r="G369" s="27">
        <v>1780</v>
      </c>
      <c r="H369" s="27">
        <v>640.12611111111107</v>
      </c>
      <c r="I369" s="27">
        <v>0</v>
      </c>
    </row>
    <row r="370" spans="1:9" x14ac:dyDescent="0.2">
      <c r="A370" s="23">
        <v>45672.916666666664</v>
      </c>
      <c r="B370" s="25">
        <v>45672.916666666664</v>
      </c>
      <c r="C370" s="27">
        <v>0</v>
      </c>
      <c r="D370" s="27">
        <v>0</v>
      </c>
      <c r="E370" s="27">
        <v>914.76666259765625</v>
      </c>
      <c r="F370" s="27">
        <v>0</v>
      </c>
      <c r="G370" s="27">
        <v>1780</v>
      </c>
      <c r="H370" s="27">
        <v>637.69916666666666</v>
      </c>
      <c r="I370" s="27">
        <v>0</v>
      </c>
    </row>
    <row r="371" spans="1:9" x14ac:dyDescent="0.2">
      <c r="A371" s="23">
        <v>45672.958333333336</v>
      </c>
      <c r="B371" s="25">
        <v>45672.958333333336</v>
      </c>
      <c r="C371" s="27">
        <v>0</v>
      </c>
      <c r="D371" s="27">
        <v>0</v>
      </c>
      <c r="E371" s="27">
        <v>914.76666259765625</v>
      </c>
      <c r="F371" s="27">
        <v>0</v>
      </c>
      <c r="G371" s="27">
        <v>1780</v>
      </c>
      <c r="H371" s="27">
        <v>638.21444444444444</v>
      </c>
      <c r="I371" s="27">
        <v>8.8888888888888889E-3</v>
      </c>
    </row>
    <row r="372" spans="1:9" x14ac:dyDescent="0.2">
      <c r="A372" s="23">
        <v>45673</v>
      </c>
      <c r="B372" s="25">
        <v>45673</v>
      </c>
      <c r="C372" s="27">
        <v>0</v>
      </c>
      <c r="D372" s="27">
        <v>0</v>
      </c>
      <c r="E372" s="27">
        <v>914.76666259765625</v>
      </c>
      <c r="F372" s="27">
        <v>0</v>
      </c>
      <c r="G372" s="27">
        <v>1780</v>
      </c>
      <c r="H372" s="27">
        <v>640.74833333333333</v>
      </c>
      <c r="I372" s="27">
        <v>8.8888888888888889E-3</v>
      </c>
    </row>
    <row r="373" spans="1:9" x14ac:dyDescent="0.2">
      <c r="A373" s="23">
        <v>45673.041666666664</v>
      </c>
      <c r="B373" s="25">
        <v>45673.041666666664</v>
      </c>
      <c r="C373" s="27">
        <v>0</v>
      </c>
      <c r="D373" s="27">
        <v>0</v>
      </c>
      <c r="E373" s="27">
        <v>914.76666259765625</v>
      </c>
      <c r="F373" s="27">
        <v>0</v>
      </c>
      <c r="G373" s="27">
        <v>1780</v>
      </c>
      <c r="H373" s="27">
        <v>639.94277777777779</v>
      </c>
      <c r="I373" s="27">
        <v>4.4444444444444444E-3</v>
      </c>
    </row>
    <row r="374" spans="1:9" x14ac:dyDescent="0.2">
      <c r="A374" s="23">
        <v>45673.083333333336</v>
      </c>
      <c r="B374" s="25">
        <v>45673.083333333336</v>
      </c>
      <c r="C374" s="27">
        <v>0</v>
      </c>
      <c r="D374" s="27">
        <v>0</v>
      </c>
      <c r="E374" s="27">
        <v>914.76666259765625</v>
      </c>
      <c r="F374" s="27">
        <v>0</v>
      </c>
      <c r="G374" s="27">
        <v>1780</v>
      </c>
      <c r="H374" s="27">
        <v>641.08722222222218</v>
      </c>
      <c r="I374" s="27">
        <v>0</v>
      </c>
    </row>
    <row r="375" spans="1:9" x14ac:dyDescent="0.2">
      <c r="A375" s="23">
        <v>45673.125</v>
      </c>
      <c r="B375" s="25">
        <v>45673.125</v>
      </c>
      <c r="C375" s="27">
        <v>0</v>
      </c>
      <c r="D375" s="27">
        <v>0</v>
      </c>
      <c r="E375" s="27">
        <v>914.76666259765625</v>
      </c>
      <c r="F375" s="27">
        <v>0</v>
      </c>
      <c r="G375" s="27">
        <v>1780</v>
      </c>
      <c r="H375" s="27">
        <v>642.4616666666667</v>
      </c>
      <c r="I375" s="27">
        <v>0</v>
      </c>
    </row>
    <row r="376" spans="1:9" x14ac:dyDescent="0.2">
      <c r="A376" s="23">
        <v>45673.166666666664</v>
      </c>
      <c r="B376" s="25">
        <v>45673.166666666664</v>
      </c>
      <c r="C376" s="27">
        <v>0</v>
      </c>
      <c r="D376" s="27">
        <v>0</v>
      </c>
      <c r="E376" s="27">
        <v>914.76666259765625</v>
      </c>
      <c r="F376" s="27">
        <v>0</v>
      </c>
      <c r="G376" s="27">
        <v>1780</v>
      </c>
      <c r="H376" s="27">
        <v>643.01805555555552</v>
      </c>
      <c r="I376" s="27">
        <v>0</v>
      </c>
    </row>
    <row r="377" spans="1:9" x14ac:dyDescent="0.2">
      <c r="A377" s="23">
        <v>45673.208333333336</v>
      </c>
      <c r="B377" s="25">
        <v>45673.208333333336</v>
      </c>
      <c r="C377" s="27">
        <v>0</v>
      </c>
      <c r="D377" s="27">
        <v>0</v>
      </c>
      <c r="E377" s="27">
        <v>914.76666259765625</v>
      </c>
      <c r="F377" s="27">
        <v>0</v>
      </c>
      <c r="G377" s="27">
        <v>1780</v>
      </c>
      <c r="H377" s="27">
        <v>638.99833333333333</v>
      </c>
      <c r="I377" s="27">
        <v>1.3333333333333334E-2</v>
      </c>
    </row>
    <row r="378" spans="1:9" x14ac:dyDescent="0.2">
      <c r="A378" s="23">
        <v>45673.25</v>
      </c>
      <c r="B378" s="25">
        <v>45673.25</v>
      </c>
      <c r="C378" s="27">
        <v>0</v>
      </c>
      <c r="D378" s="27">
        <v>0</v>
      </c>
      <c r="E378" s="27">
        <v>914.76666259765625</v>
      </c>
      <c r="F378" s="27">
        <v>0</v>
      </c>
      <c r="G378" s="27">
        <v>1780</v>
      </c>
      <c r="H378" s="27">
        <v>639.10805555555555</v>
      </c>
      <c r="I378" s="27">
        <v>8.8888888888888889E-3</v>
      </c>
    </row>
    <row r="379" spans="1:9" x14ac:dyDescent="0.2">
      <c r="A379" s="23">
        <v>45673.291666666664</v>
      </c>
      <c r="B379" s="25">
        <v>45673.291666666664</v>
      </c>
      <c r="C379" s="27">
        <v>0</v>
      </c>
      <c r="D379" s="27">
        <v>0</v>
      </c>
      <c r="E379" s="27">
        <v>914.76666259765625</v>
      </c>
      <c r="F379" s="27">
        <v>0</v>
      </c>
      <c r="G379" s="27">
        <v>1780</v>
      </c>
      <c r="H379" s="27">
        <v>638.09027777777783</v>
      </c>
      <c r="I379" s="27">
        <v>0</v>
      </c>
    </row>
    <row r="380" spans="1:9" x14ac:dyDescent="0.2">
      <c r="A380" s="23">
        <v>45673.333333333336</v>
      </c>
      <c r="B380" s="25">
        <v>45673.333333333336</v>
      </c>
      <c r="C380" s="27">
        <v>0</v>
      </c>
      <c r="D380" s="27">
        <v>0</v>
      </c>
      <c r="E380" s="27">
        <v>914.76666259765625</v>
      </c>
      <c r="F380" s="27">
        <v>0</v>
      </c>
      <c r="G380" s="27">
        <v>1780</v>
      </c>
      <c r="H380" s="27">
        <v>636.95749999999998</v>
      </c>
      <c r="I380" s="27">
        <v>4.4444444444444444E-3</v>
      </c>
    </row>
    <row r="381" spans="1:9" x14ac:dyDescent="0.2">
      <c r="A381" s="23">
        <v>45673.375</v>
      </c>
      <c r="B381" s="25">
        <v>45673.375</v>
      </c>
      <c r="C381" s="27">
        <v>0</v>
      </c>
      <c r="D381" s="27">
        <v>0</v>
      </c>
      <c r="E381" s="27">
        <v>914.76666259765625</v>
      </c>
      <c r="F381" s="27">
        <v>0</v>
      </c>
      <c r="G381" s="27">
        <v>1780</v>
      </c>
      <c r="H381" s="27">
        <v>634.57722222222219</v>
      </c>
      <c r="I381" s="27">
        <v>4.4444444444444444E-3</v>
      </c>
    </row>
    <row r="382" spans="1:9" x14ac:dyDescent="0.2">
      <c r="A382" s="23">
        <v>45673.416666666664</v>
      </c>
      <c r="B382" s="25">
        <v>45673.416666666664</v>
      </c>
      <c r="C382" s="27">
        <v>0</v>
      </c>
      <c r="D382" s="27">
        <v>0</v>
      </c>
      <c r="E382" s="27">
        <v>914.76666259765625</v>
      </c>
      <c r="F382" s="27">
        <v>0</v>
      </c>
      <c r="G382" s="27">
        <v>1780</v>
      </c>
      <c r="H382" s="27">
        <v>638.88861111111112</v>
      </c>
      <c r="I382" s="27">
        <v>4.4444444444444444E-3</v>
      </c>
    </row>
    <row r="383" spans="1:9" x14ac:dyDescent="0.2">
      <c r="A383" s="23">
        <v>45673.458333333336</v>
      </c>
      <c r="B383" s="25">
        <v>45673.458333333336</v>
      </c>
      <c r="C383" s="27">
        <v>0</v>
      </c>
      <c r="D383" s="27">
        <v>0</v>
      </c>
      <c r="E383" s="27">
        <v>914.76666259765625</v>
      </c>
      <c r="F383" s="27">
        <v>0</v>
      </c>
      <c r="G383" s="27">
        <v>1780</v>
      </c>
      <c r="H383" s="27">
        <v>639.66166666666663</v>
      </c>
      <c r="I383" s="27">
        <v>8.8888888888888889E-3</v>
      </c>
    </row>
    <row r="384" spans="1:9" x14ac:dyDescent="0.2">
      <c r="A384" s="23">
        <v>45673.5</v>
      </c>
      <c r="B384" s="25">
        <v>45673.5</v>
      </c>
      <c r="C384" s="27">
        <v>0</v>
      </c>
      <c r="D384" s="27">
        <v>0</v>
      </c>
      <c r="E384" s="27">
        <v>914.76666259765625</v>
      </c>
      <c r="F384" s="27">
        <v>0</v>
      </c>
      <c r="G384" s="27">
        <v>1780</v>
      </c>
      <c r="H384" s="27">
        <v>636.44305555555559</v>
      </c>
      <c r="I384" s="27">
        <v>4.4444444444444444E-3</v>
      </c>
    </row>
    <row r="385" spans="1:9" x14ac:dyDescent="0.2">
      <c r="A385" s="23">
        <v>45673.541666666664</v>
      </c>
      <c r="B385" s="25">
        <v>45673.541666666664</v>
      </c>
      <c r="C385" s="27">
        <v>0</v>
      </c>
      <c r="D385" s="27">
        <v>0</v>
      </c>
      <c r="E385" s="27">
        <v>914.76666259765625</v>
      </c>
      <c r="F385" s="27">
        <v>0</v>
      </c>
      <c r="G385" s="27">
        <v>1780</v>
      </c>
      <c r="H385" s="27">
        <v>641.68694444444441</v>
      </c>
      <c r="I385" s="27">
        <v>1.3333333333333334E-2</v>
      </c>
    </row>
    <row r="386" spans="1:9" x14ac:dyDescent="0.2">
      <c r="A386" s="23">
        <v>45673.583333333336</v>
      </c>
      <c r="B386" s="25">
        <v>45673.583333333336</v>
      </c>
      <c r="C386" s="27">
        <v>0</v>
      </c>
      <c r="D386" s="27">
        <v>0</v>
      </c>
      <c r="E386" s="27">
        <v>914.76666259765625</v>
      </c>
      <c r="F386" s="27">
        <v>0</v>
      </c>
      <c r="G386" s="27">
        <v>1780</v>
      </c>
      <c r="H386" s="27">
        <v>636.93111111111114</v>
      </c>
      <c r="I386" s="27">
        <v>4.4444444444444444E-3</v>
      </c>
    </row>
    <row r="387" spans="1:9" x14ac:dyDescent="0.2">
      <c r="A387" s="23">
        <v>45673.625</v>
      </c>
      <c r="B387" s="25">
        <v>45673.625</v>
      </c>
      <c r="C387" s="27">
        <v>0</v>
      </c>
      <c r="D387" s="27">
        <v>0</v>
      </c>
      <c r="E387" s="27">
        <v>914.76666259765625</v>
      </c>
      <c r="F387" s="27">
        <v>0</v>
      </c>
      <c r="G387" s="27">
        <v>1780</v>
      </c>
      <c r="H387" s="27">
        <v>636.19944444444445</v>
      </c>
      <c r="I387" s="27">
        <v>4.4444444444444444E-3</v>
      </c>
    </row>
    <row r="388" spans="1:9" x14ac:dyDescent="0.2">
      <c r="A388" s="23">
        <v>45673.666666666664</v>
      </c>
      <c r="B388" s="25">
        <v>45673.666666666664</v>
      </c>
      <c r="C388" s="27">
        <v>0</v>
      </c>
      <c r="D388" s="27">
        <v>0</v>
      </c>
      <c r="E388" s="27">
        <v>914.76666259765625</v>
      </c>
      <c r="F388" s="27">
        <v>0</v>
      </c>
      <c r="G388" s="27">
        <v>1780</v>
      </c>
      <c r="H388" s="27">
        <v>641.69388888888886</v>
      </c>
      <c r="I388" s="27">
        <v>4.4444444444444444E-3</v>
      </c>
    </row>
    <row r="389" spans="1:9" x14ac:dyDescent="0.2">
      <c r="A389" s="23">
        <v>45673.708333333336</v>
      </c>
      <c r="B389" s="25">
        <v>45673.708333333336</v>
      </c>
      <c r="C389" s="27">
        <v>0</v>
      </c>
      <c r="D389" s="27">
        <v>0</v>
      </c>
      <c r="E389" s="27">
        <v>914.76666259765625</v>
      </c>
      <c r="F389" s="27">
        <v>0</v>
      </c>
      <c r="G389" s="27">
        <v>1780</v>
      </c>
      <c r="H389" s="27">
        <v>639.35555555555561</v>
      </c>
      <c r="I389" s="27">
        <v>0</v>
      </c>
    </row>
    <row r="390" spans="1:9" x14ac:dyDescent="0.2">
      <c r="A390" s="23">
        <v>45673.75</v>
      </c>
      <c r="B390" s="25">
        <v>45673.75</v>
      </c>
      <c r="C390" s="27">
        <v>0</v>
      </c>
      <c r="D390" s="27">
        <v>0</v>
      </c>
      <c r="E390" s="27">
        <v>914.76666259765625</v>
      </c>
      <c r="F390" s="27">
        <v>0</v>
      </c>
      <c r="G390" s="27">
        <v>1780</v>
      </c>
      <c r="H390" s="27">
        <v>639.32916666666665</v>
      </c>
      <c r="I390" s="27">
        <v>4.4444444444444444E-3</v>
      </c>
    </row>
    <row r="391" spans="1:9" x14ac:dyDescent="0.2">
      <c r="A391" s="23">
        <v>45673.791666666664</v>
      </c>
      <c r="B391" s="25">
        <v>45673.791666666664</v>
      </c>
      <c r="C391" s="27">
        <v>0</v>
      </c>
      <c r="D391" s="27">
        <v>0</v>
      </c>
      <c r="E391" s="27">
        <v>914.76666259765625</v>
      </c>
      <c r="F391" s="27">
        <v>0</v>
      </c>
      <c r="G391" s="27">
        <v>1780</v>
      </c>
      <c r="H391" s="27">
        <v>637.52972222222218</v>
      </c>
      <c r="I391" s="27">
        <v>0</v>
      </c>
    </row>
    <row r="392" spans="1:9" x14ac:dyDescent="0.2">
      <c r="A392" s="23">
        <v>45673.833333333336</v>
      </c>
      <c r="B392" s="25">
        <v>45673.833333333336</v>
      </c>
      <c r="C392" s="27">
        <v>0</v>
      </c>
      <c r="D392" s="27">
        <v>0</v>
      </c>
      <c r="E392" s="27">
        <v>914.76666259765625</v>
      </c>
      <c r="F392" s="27">
        <v>0</v>
      </c>
      <c r="G392" s="27">
        <v>1780</v>
      </c>
      <c r="H392" s="27">
        <v>637.29972222222227</v>
      </c>
      <c r="I392" s="27">
        <v>8.8888888888888889E-3</v>
      </c>
    </row>
    <row r="393" spans="1:9" x14ac:dyDescent="0.2">
      <c r="A393" s="23">
        <v>45673.875</v>
      </c>
      <c r="B393" s="25">
        <v>45673.875</v>
      </c>
      <c r="C393" s="27">
        <v>0</v>
      </c>
      <c r="D393" s="27">
        <v>0</v>
      </c>
      <c r="E393" s="27">
        <v>914.76666259765625</v>
      </c>
      <c r="F393" s="27">
        <v>0</v>
      </c>
      <c r="G393" s="27">
        <v>1780</v>
      </c>
      <c r="H393" s="27">
        <v>639.04</v>
      </c>
      <c r="I393" s="27">
        <v>0</v>
      </c>
    </row>
    <row r="394" spans="1:9" x14ac:dyDescent="0.2">
      <c r="A394" s="23">
        <v>45673.916666666664</v>
      </c>
      <c r="B394" s="25">
        <v>45673.916666666664</v>
      </c>
      <c r="C394" s="27">
        <v>0</v>
      </c>
      <c r="D394" s="27">
        <v>0</v>
      </c>
      <c r="E394" s="27">
        <v>914.76666259765625</v>
      </c>
      <c r="F394" s="27">
        <v>0</v>
      </c>
      <c r="G394" s="27">
        <v>1780</v>
      </c>
      <c r="H394" s="27">
        <v>640.82361111111106</v>
      </c>
      <c r="I394" s="27">
        <v>0</v>
      </c>
    </row>
    <row r="395" spans="1:9" x14ac:dyDescent="0.2">
      <c r="A395" s="23">
        <v>45673.958333333336</v>
      </c>
      <c r="B395" s="25">
        <v>45673.958333333336</v>
      </c>
      <c r="C395" s="27">
        <v>0</v>
      </c>
      <c r="D395" s="27">
        <v>0</v>
      </c>
      <c r="E395" s="27">
        <v>914.76666259765625</v>
      </c>
      <c r="F395" s="27">
        <v>0</v>
      </c>
      <c r="G395" s="27">
        <v>1780</v>
      </c>
      <c r="H395" s="27">
        <v>638.87583333333339</v>
      </c>
      <c r="I395" s="27">
        <v>4.4444444444444444E-3</v>
      </c>
    </row>
    <row r="396" spans="1:9" x14ac:dyDescent="0.2">
      <c r="A396" s="23">
        <v>45674</v>
      </c>
      <c r="B396" s="25">
        <v>45674</v>
      </c>
      <c r="C396" s="27">
        <v>0</v>
      </c>
      <c r="D396" s="27">
        <v>0</v>
      </c>
      <c r="E396" s="27">
        <v>914.76666259765625</v>
      </c>
      <c r="F396" s="27">
        <v>0</v>
      </c>
      <c r="G396" s="27">
        <v>1780</v>
      </c>
      <c r="H396" s="27">
        <v>640.40638888888884</v>
      </c>
      <c r="I396" s="27">
        <v>0</v>
      </c>
    </row>
    <row r="397" spans="1:9" x14ac:dyDescent="0.2">
      <c r="A397" s="23">
        <v>45674.041666666664</v>
      </c>
      <c r="B397" s="25">
        <v>45674.041666666664</v>
      </c>
      <c r="C397" s="27">
        <v>0</v>
      </c>
      <c r="D397" s="27">
        <v>0</v>
      </c>
      <c r="E397" s="27">
        <v>914.76666259765625</v>
      </c>
      <c r="F397" s="27">
        <v>0</v>
      </c>
      <c r="G397" s="27">
        <v>1780</v>
      </c>
      <c r="H397" s="27">
        <v>642.45749999999998</v>
      </c>
      <c r="I397" s="27">
        <v>0</v>
      </c>
    </row>
    <row r="398" spans="1:9" x14ac:dyDescent="0.2">
      <c r="A398" s="23">
        <v>45674.083333333336</v>
      </c>
      <c r="B398" s="25">
        <v>45674.083333333336</v>
      </c>
      <c r="C398" s="27">
        <v>0</v>
      </c>
      <c r="D398" s="27">
        <v>0</v>
      </c>
      <c r="E398" s="27">
        <v>914.76666259765625</v>
      </c>
      <c r="F398" s="27">
        <v>0</v>
      </c>
      <c r="G398" s="27">
        <v>1780</v>
      </c>
      <c r="H398" s="27">
        <v>639.91833333333329</v>
      </c>
      <c r="I398" s="27">
        <v>1.3333333333333334E-2</v>
      </c>
    </row>
    <row r="399" spans="1:9" x14ac:dyDescent="0.2">
      <c r="A399" s="23">
        <v>45674.125</v>
      </c>
      <c r="B399" s="25">
        <v>45674.125</v>
      </c>
      <c r="C399" s="27">
        <v>0</v>
      </c>
      <c r="D399" s="27">
        <v>0</v>
      </c>
      <c r="E399" s="27">
        <v>914.76666259765625</v>
      </c>
      <c r="F399" s="27">
        <v>0</v>
      </c>
      <c r="G399" s="27">
        <v>1780</v>
      </c>
      <c r="H399" s="27">
        <v>640.96555555555551</v>
      </c>
      <c r="I399" s="27">
        <v>0</v>
      </c>
    </row>
    <row r="400" spans="1:9" x14ac:dyDescent="0.2">
      <c r="A400" s="23">
        <v>45674.166666666664</v>
      </c>
      <c r="B400" s="25">
        <v>45674.166666666664</v>
      </c>
      <c r="C400" s="27">
        <v>0</v>
      </c>
      <c r="D400" s="27">
        <v>0</v>
      </c>
      <c r="E400" s="27">
        <v>914.76666259765625</v>
      </c>
      <c r="F400" s="27">
        <v>0</v>
      </c>
      <c r="G400" s="27">
        <v>1780</v>
      </c>
      <c r="H400" s="27">
        <v>642.1294444444444</v>
      </c>
      <c r="I400" s="27">
        <v>0</v>
      </c>
    </row>
    <row r="401" spans="1:9" x14ac:dyDescent="0.2">
      <c r="A401" s="23">
        <v>45674.208333333336</v>
      </c>
      <c r="B401" s="25">
        <v>45674.208333333336</v>
      </c>
      <c r="C401" s="27">
        <v>0</v>
      </c>
      <c r="D401" s="27">
        <v>0</v>
      </c>
      <c r="E401" s="27">
        <v>914.76666259765625</v>
      </c>
      <c r="F401" s="27">
        <v>0</v>
      </c>
      <c r="G401" s="27">
        <v>1780</v>
      </c>
      <c r="H401" s="27">
        <v>641.31833333333338</v>
      </c>
      <c r="I401" s="27">
        <v>4.4444444444444444E-3</v>
      </c>
    </row>
    <row r="402" spans="1:9" x14ac:dyDescent="0.2">
      <c r="A402" s="23">
        <v>45674.25</v>
      </c>
      <c r="B402" s="25">
        <v>45674.25</v>
      </c>
      <c r="C402" s="27">
        <v>0</v>
      </c>
      <c r="D402" s="27">
        <v>0</v>
      </c>
      <c r="E402" s="27">
        <v>914.76666259765625</v>
      </c>
      <c r="F402" s="27">
        <v>0</v>
      </c>
      <c r="G402" s="27">
        <v>1780</v>
      </c>
      <c r="H402" s="27">
        <v>638.74222222222227</v>
      </c>
      <c r="I402" s="27">
        <v>4.4444444444444444E-3</v>
      </c>
    </row>
    <row r="403" spans="1:9" x14ac:dyDescent="0.2">
      <c r="A403" s="23">
        <v>45674.291666666664</v>
      </c>
      <c r="B403" s="25">
        <v>45674.291666666664</v>
      </c>
      <c r="C403" s="27">
        <v>0</v>
      </c>
      <c r="D403" s="27">
        <v>0</v>
      </c>
      <c r="E403" s="27">
        <v>914.76666259765625</v>
      </c>
      <c r="F403" s="27">
        <v>0</v>
      </c>
      <c r="G403" s="27">
        <v>1780</v>
      </c>
      <c r="H403" s="27">
        <v>636.80916666666667</v>
      </c>
      <c r="I403" s="27">
        <v>4.4444444444444444E-3</v>
      </c>
    </row>
    <row r="404" spans="1:9" x14ac:dyDescent="0.2">
      <c r="A404" s="23">
        <v>45674.333333333336</v>
      </c>
      <c r="B404" s="25">
        <v>45674.333333333336</v>
      </c>
      <c r="C404" s="27">
        <v>0</v>
      </c>
      <c r="D404" s="27">
        <v>0</v>
      </c>
      <c r="E404" s="27">
        <v>914.76666259765625</v>
      </c>
      <c r="F404" s="27">
        <v>0</v>
      </c>
      <c r="G404" s="27">
        <v>1780</v>
      </c>
      <c r="H404" s="27">
        <v>636.61527777777781</v>
      </c>
      <c r="I404" s="27">
        <v>4.4444444444444444E-3</v>
      </c>
    </row>
    <row r="405" spans="1:9" x14ac:dyDescent="0.2">
      <c r="A405" s="23">
        <v>45674.375</v>
      </c>
      <c r="B405" s="25">
        <v>45674.375</v>
      </c>
      <c r="C405" s="27">
        <v>0</v>
      </c>
      <c r="D405" s="27">
        <v>0</v>
      </c>
      <c r="E405" s="27">
        <v>914.76666259765625</v>
      </c>
      <c r="F405" s="27">
        <v>0</v>
      </c>
      <c r="G405" s="27">
        <v>1780</v>
      </c>
      <c r="H405" s="27">
        <v>635.5913888888889</v>
      </c>
      <c r="I405" s="27">
        <v>4.4444444444444444E-3</v>
      </c>
    </row>
    <row r="406" spans="1:9" x14ac:dyDescent="0.2">
      <c r="A406" s="23">
        <v>45674.416666666664</v>
      </c>
      <c r="B406" s="25">
        <v>45674.416666666664</v>
      </c>
      <c r="C406" s="27">
        <v>0</v>
      </c>
      <c r="D406" s="27">
        <v>0</v>
      </c>
      <c r="E406" s="27">
        <v>914.76666259765625</v>
      </c>
      <c r="F406" s="27">
        <v>0</v>
      </c>
      <c r="G406" s="27">
        <v>1780</v>
      </c>
      <c r="H406" s="27">
        <v>636.37111111111108</v>
      </c>
      <c r="I406" s="27">
        <v>4.4444444444444444E-3</v>
      </c>
    </row>
    <row r="407" spans="1:9" x14ac:dyDescent="0.2">
      <c r="A407" s="23">
        <v>45674.458333333336</v>
      </c>
      <c r="B407" s="25">
        <v>45674.458333333336</v>
      </c>
      <c r="C407" s="27">
        <v>0</v>
      </c>
      <c r="D407" s="27">
        <v>0</v>
      </c>
      <c r="E407" s="27">
        <v>914.76666259765625</v>
      </c>
      <c r="F407" s="27">
        <v>0</v>
      </c>
      <c r="G407" s="27">
        <v>1780</v>
      </c>
      <c r="H407" s="27">
        <v>638.20722222222219</v>
      </c>
      <c r="I407" s="27">
        <v>8.8888888888888889E-3</v>
      </c>
    </row>
    <row r="408" spans="1:9" x14ac:dyDescent="0.2">
      <c r="A408" s="23">
        <v>45674.5</v>
      </c>
      <c r="B408" s="25">
        <v>45674.5</v>
      </c>
      <c r="C408" s="27">
        <v>0</v>
      </c>
      <c r="D408" s="27">
        <v>0</v>
      </c>
      <c r="E408" s="27">
        <v>914.76666259765625</v>
      </c>
      <c r="F408" s="27">
        <v>0</v>
      </c>
      <c r="G408" s="27">
        <v>1780</v>
      </c>
      <c r="H408" s="27">
        <v>635.19722222222219</v>
      </c>
      <c r="I408" s="27">
        <v>8.8888888888888889E-3</v>
      </c>
    </row>
    <row r="409" spans="1:9" x14ac:dyDescent="0.2">
      <c r="A409" s="23">
        <v>45674.541666666664</v>
      </c>
      <c r="B409" s="25">
        <v>45674.541666666664</v>
      </c>
      <c r="C409" s="27">
        <v>0</v>
      </c>
      <c r="D409" s="27">
        <v>0</v>
      </c>
      <c r="E409" s="27">
        <v>914.76666259765625</v>
      </c>
      <c r="F409" s="27">
        <v>0</v>
      </c>
      <c r="G409" s="27">
        <v>1780</v>
      </c>
      <c r="H409" s="27">
        <v>637.69916666666666</v>
      </c>
      <c r="I409" s="27">
        <v>4.4444444444444444E-3</v>
      </c>
    </row>
    <row r="410" spans="1:9" x14ac:dyDescent="0.2">
      <c r="A410" s="23">
        <v>45674.583333333336</v>
      </c>
      <c r="B410" s="25">
        <v>45674.583333333336</v>
      </c>
      <c r="C410" s="27">
        <v>0</v>
      </c>
      <c r="D410" s="27">
        <v>0</v>
      </c>
      <c r="E410" s="27">
        <v>914.76666259765625</v>
      </c>
      <c r="F410" s="27">
        <v>0</v>
      </c>
      <c r="G410" s="27">
        <v>1780</v>
      </c>
      <c r="H410" s="27">
        <v>642.10111111111109</v>
      </c>
      <c r="I410" s="27">
        <v>4.4444444444444444E-3</v>
      </c>
    </row>
    <row r="411" spans="1:9" x14ac:dyDescent="0.2">
      <c r="A411" s="23">
        <v>45674.625</v>
      </c>
      <c r="B411" s="25">
        <v>45674.625</v>
      </c>
      <c r="C411" s="27">
        <v>0</v>
      </c>
      <c r="D411" s="27">
        <v>0</v>
      </c>
      <c r="E411" s="27">
        <v>914.76666259765625</v>
      </c>
      <c r="F411" s="27">
        <v>0</v>
      </c>
      <c r="G411" s="27">
        <v>1780</v>
      </c>
      <c r="H411" s="27">
        <v>635.44333333333338</v>
      </c>
      <c r="I411" s="27">
        <v>0</v>
      </c>
    </row>
    <row r="412" spans="1:9" x14ac:dyDescent="0.2">
      <c r="A412" s="23">
        <v>45674.666666666664</v>
      </c>
      <c r="B412" s="25">
        <v>45674.666666666664</v>
      </c>
      <c r="C412" s="27">
        <v>0</v>
      </c>
      <c r="D412" s="27">
        <v>0</v>
      </c>
      <c r="E412" s="27">
        <v>914.76666259765625</v>
      </c>
      <c r="F412" s="27">
        <v>0</v>
      </c>
      <c r="G412" s="27">
        <v>1780</v>
      </c>
      <c r="H412" s="27">
        <v>640.84805555555556</v>
      </c>
      <c r="I412" s="27">
        <v>0</v>
      </c>
    </row>
    <row r="413" spans="1:9" x14ac:dyDescent="0.2">
      <c r="A413" s="23">
        <v>45674.708333333336</v>
      </c>
      <c r="B413" s="25">
        <v>45674.708333333336</v>
      </c>
      <c r="C413" s="27">
        <v>0</v>
      </c>
      <c r="D413" s="27">
        <v>0</v>
      </c>
      <c r="E413" s="27">
        <v>914.76666259765625</v>
      </c>
      <c r="F413" s="27">
        <v>0</v>
      </c>
      <c r="G413" s="27">
        <v>1780</v>
      </c>
      <c r="H413" s="27">
        <v>636.63</v>
      </c>
      <c r="I413" s="27">
        <v>4.4444444444444444E-3</v>
      </c>
    </row>
    <row r="414" spans="1:9" x14ac:dyDescent="0.2">
      <c r="A414" s="23">
        <v>45674.75</v>
      </c>
      <c r="B414" s="25">
        <v>45674.75</v>
      </c>
      <c r="C414" s="27">
        <v>0</v>
      </c>
      <c r="D414" s="27">
        <v>0</v>
      </c>
      <c r="E414" s="27">
        <v>914.76666259765625</v>
      </c>
      <c r="F414" s="27">
        <v>0</v>
      </c>
      <c r="G414" s="27">
        <v>1780</v>
      </c>
      <c r="H414" s="27">
        <v>639.53972222222217</v>
      </c>
      <c r="I414" s="27">
        <v>0</v>
      </c>
    </row>
    <row r="415" spans="1:9" x14ac:dyDescent="0.2">
      <c r="A415" s="23">
        <v>45674.791666666664</v>
      </c>
      <c r="B415" s="25">
        <v>45674.791666666664</v>
      </c>
      <c r="C415" s="27">
        <v>0</v>
      </c>
      <c r="D415" s="27">
        <v>0</v>
      </c>
      <c r="E415" s="27">
        <v>914.76666259765625</v>
      </c>
      <c r="F415" s="27">
        <v>0</v>
      </c>
      <c r="G415" s="27">
        <v>1780</v>
      </c>
      <c r="H415" s="27">
        <v>636.92916666666667</v>
      </c>
      <c r="I415" s="27">
        <v>0</v>
      </c>
    </row>
    <row r="416" spans="1:9" x14ac:dyDescent="0.2">
      <c r="A416" s="23">
        <v>45674.833333333336</v>
      </c>
      <c r="B416" s="25">
        <v>45674.833333333336</v>
      </c>
      <c r="C416" s="27">
        <v>0</v>
      </c>
      <c r="D416" s="27">
        <v>0</v>
      </c>
      <c r="E416" s="27">
        <v>914.76666259765625</v>
      </c>
      <c r="F416" s="27">
        <v>0</v>
      </c>
      <c r="G416" s="27">
        <v>1780</v>
      </c>
      <c r="H416" s="27">
        <v>636.61027777777781</v>
      </c>
      <c r="I416" s="27">
        <v>4.4444444444444444E-3</v>
      </c>
    </row>
    <row r="417" spans="1:9" x14ac:dyDescent="0.2">
      <c r="A417" s="23">
        <v>45674.875</v>
      </c>
      <c r="B417" s="25">
        <v>45674.875</v>
      </c>
      <c r="C417" s="27">
        <v>126.37769442240398</v>
      </c>
      <c r="D417" s="27">
        <v>49.866638251344362</v>
      </c>
      <c r="E417" s="27">
        <v>915.14150638156468</v>
      </c>
      <c r="F417" s="27">
        <v>1496.8402777777778</v>
      </c>
      <c r="G417" s="27">
        <v>1780</v>
      </c>
      <c r="H417" s="27">
        <v>642.0383333333333</v>
      </c>
      <c r="I417" s="27">
        <v>386.5697222222222</v>
      </c>
    </row>
    <row r="418" spans="1:9" x14ac:dyDescent="0.2">
      <c r="A418" s="23">
        <v>45674.916666666664</v>
      </c>
      <c r="B418" s="25">
        <v>45674.916666666664</v>
      </c>
      <c r="C418" s="27">
        <v>151.04608334859213</v>
      </c>
      <c r="D418" s="27">
        <v>59.283527015050254</v>
      </c>
      <c r="E418" s="27">
        <v>916.14487074110241</v>
      </c>
      <c r="F418" s="27">
        <v>1780</v>
      </c>
      <c r="G418" s="27">
        <v>1780</v>
      </c>
      <c r="H418" s="27">
        <v>642.99722222222226</v>
      </c>
      <c r="I418" s="27">
        <v>460.09166666666664</v>
      </c>
    </row>
    <row r="419" spans="1:9" x14ac:dyDescent="0.2">
      <c r="A419" s="23">
        <v>45674.958333333336</v>
      </c>
      <c r="B419" s="25">
        <v>45674.958333333336</v>
      </c>
      <c r="C419" s="27">
        <v>126.72583330366346</v>
      </c>
      <c r="D419" s="27">
        <v>51.788666000366213</v>
      </c>
      <c r="E419" s="27">
        <v>917.15285176595057</v>
      </c>
      <c r="F419" s="27">
        <v>1554.5802777777778</v>
      </c>
      <c r="G419" s="27">
        <v>1780</v>
      </c>
      <c r="H419" s="27">
        <v>645.03194444444443</v>
      </c>
      <c r="I419" s="27">
        <v>401.8725</v>
      </c>
    </row>
    <row r="420" spans="1:9" x14ac:dyDescent="0.2">
      <c r="A420" s="23">
        <v>45675</v>
      </c>
      <c r="B420" s="25">
        <v>45675</v>
      </c>
      <c r="C420" s="27">
        <v>75.850083355373812</v>
      </c>
      <c r="D420" s="27">
        <v>32.348860695593885</v>
      </c>
      <c r="E420" s="27">
        <v>917.68669887966576</v>
      </c>
      <c r="F420" s="27">
        <v>970.95777777777778</v>
      </c>
      <c r="G420" s="27">
        <v>1780</v>
      </c>
      <c r="H420" s="27">
        <v>645.59888888888884</v>
      </c>
      <c r="I420" s="27">
        <v>250.97944444444445</v>
      </c>
    </row>
    <row r="421" spans="1:9" x14ac:dyDescent="0.2">
      <c r="A421" s="23">
        <v>45675.041666666664</v>
      </c>
      <c r="B421" s="25">
        <v>45675.041666666664</v>
      </c>
      <c r="C421" s="27">
        <v>16.052055507236055</v>
      </c>
      <c r="D421" s="27">
        <v>7.1818887964884439</v>
      </c>
      <c r="E421" s="27">
        <v>918.20993421766491</v>
      </c>
      <c r="F421" s="27">
        <v>215.59</v>
      </c>
      <c r="G421" s="27">
        <v>1780</v>
      </c>
      <c r="H421" s="27">
        <v>643.79611111111114</v>
      </c>
      <c r="I421" s="27">
        <v>55.747777777777777</v>
      </c>
    </row>
    <row r="422" spans="1:9" x14ac:dyDescent="0.2">
      <c r="A422" s="23">
        <v>45675.083333333336</v>
      </c>
      <c r="B422" s="25">
        <v>45675.083333333336</v>
      </c>
      <c r="C422" s="27">
        <v>19.898888914320203</v>
      </c>
      <c r="D422" s="27">
        <v>8.5506387796666878</v>
      </c>
      <c r="E422" s="27">
        <v>918.25296223958333</v>
      </c>
      <c r="F422" s="27">
        <v>256.67944444444447</v>
      </c>
      <c r="G422" s="27">
        <v>1780</v>
      </c>
      <c r="H422" s="27">
        <v>641.38916666666671</v>
      </c>
      <c r="I422" s="27">
        <v>66.388888888888886</v>
      </c>
    </row>
    <row r="423" spans="1:9" x14ac:dyDescent="0.2">
      <c r="A423" s="23">
        <v>45675.125</v>
      </c>
      <c r="B423" s="25">
        <v>45675.125</v>
      </c>
      <c r="C423" s="27">
        <v>0</v>
      </c>
      <c r="D423" s="27">
        <v>0</v>
      </c>
      <c r="E423" s="27">
        <v>918.36663818359375</v>
      </c>
      <c r="F423" s="27">
        <v>0</v>
      </c>
      <c r="G423" s="27">
        <v>1780</v>
      </c>
      <c r="H423" s="27">
        <v>638.68111111111114</v>
      </c>
      <c r="I423" s="27">
        <v>4.4444444444444444E-3</v>
      </c>
    </row>
    <row r="424" spans="1:9" x14ac:dyDescent="0.2">
      <c r="A424" s="23">
        <v>45675.166666666664</v>
      </c>
      <c r="B424" s="25">
        <v>45675.166666666664</v>
      </c>
      <c r="C424" s="27">
        <v>0</v>
      </c>
      <c r="D424" s="27">
        <v>0</v>
      </c>
      <c r="E424" s="27">
        <v>918.36663818359375</v>
      </c>
      <c r="F424" s="27">
        <v>0</v>
      </c>
      <c r="G424" s="27">
        <v>1780</v>
      </c>
      <c r="H424" s="27">
        <v>639.95944444444444</v>
      </c>
      <c r="I424" s="27">
        <v>4.4444444444444444E-3</v>
      </c>
    </row>
    <row r="425" spans="1:9" x14ac:dyDescent="0.2">
      <c r="A425" s="23">
        <v>45675.208333333336</v>
      </c>
      <c r="B425" s="25">
        <v>45675.208333333336</v>
      </c>
      <c r="C425" s="27">
        <v>0</v>
      </c>
      <c r="D425" s="27">
        <v>0</v>
      </c>
      <c r="E425" s="27">
        <v>918.36663818359375</v>
      </c>
      <c r="F425" s="27">
        <v>0</v>
      </c>
      <c r="G425" s="27">
        <v>1780</v>
      </c>
      <c r="H425" s="27">
        <v>639.80499999999995</v>
      </c>
      <c r="I425" s="27">
        <v>1.3333333333333334E-2</v>
      </c>
    </row>
    <row r="426" spans="1:9" x14ac:dyDescent="0.2">
      <c r="A426" s="23">
        <v>45675.25</v>
      </c>
      <c r="B426" s="25">
        <v>45675.25</v>
      </c>
      <c r="C426" s="27">
        <v>0</v>
      </c>
      <c r="D426" s="27">
        <v>0</v>
      </c>
      <c r="E426" s="27">
        <v>918.36663818359375</v>
      </c>
      <c r="F426" s="27">
        <v>0</v>
      </c>
      <c r="G426" s="27">
        <v>1780</v>
      </c>
      <c r="H426" s="27">
        <v>641.29666666666662</v>
      </c>
      <c r="I426" s="27">
        <v>4.4444444444444444E-3</v>
      </c>
    </row>
    <row r="427" spans="1:9" x14ac:dyDescent="0.2">
      <c r="A427" s="23">
        <v>45675.291666666664</v>
      </c>
      <c r="B427" s="25">
        <v>45675.291666666664</v>
      </c>
      <c r="C427" s="27">
        <v>0</v>
      </c>
      <c r="D427" s="27">
        <v>0</v>
      </c>
      <c r="E427" s="27">
        <v>918.36663818359375</v>
      </c>
      <c r="F427" s="27">
        <v>0</v>
      </c>
      <c r="G427" s="27">
        <v>1780</v>
      </c>
      <c r="H427" s="27">
        <v>640.53888888888889</v>
      </c>
      <c r="I427" s="27">
        <v>4.4444444444444444E-3</v>
      </c>
    </row>
    <row r="428" spans="1:9" x14ac:dyDescent="0.2">
      <c r="A428" s="23">
        <v>45675.333333333336</v>
      </c>
      <c r="B428" s="25">
        <v>45675.333333333336</v>
      </c>
      <c r="C428" s="27">
        <v>0</v>
      </c>
      <c r="D428" s="27">
        <v>0</v>
      </c>
      <c r="E428" s="27">
        <v>918.36663818359375</v>
      </c>
      <c r="F428" s="27">
        <v>0</v>
      </c>
      <c r="G428" s="27">
        <v>1780</v>
      </c>
      <c r="H428" s="27">
        <v>635.89388888888891</v>
      </c>
      <c r="I428" s="27">
        <v>4.4444444444444444E-3</v>
      </c>
    </row>
    <row r="429" spans="1:9" x14ac:dyDescent="0.2">
      <c r="A429" s="23">
        <v>45675.375</v>
      </c>
      <c r="B429" s="25">
        <v>45675.375</v>
      </c>
      <c r="C429" s="27">
        <v>0</v>
      </c>
      <c r="D429" s="27">
        <v>0</v>
      </c>
      <c r="E429" s="27">
        <v>918.36663818359375</v>
      </c>
      <c r="F429" s="27">
        <v>0</v>
      </c>
      <c r="G429" s="27">
        <v>1780</v>
      </c>
      <c r="H429" s="27">
        <v>634.28611111111115</v>
      </c>
      <c r="I429" s="27">
        <v>0</v>
      </c>
    </row>
    <row r="430" spans="1:9" x14ac:dyDescent="0.2">
      <c r="A430" s="23">
        <v>45675.416666666664</v>
      </c>
      <c r="B430" s="25">
        <v>45675.416666666664</v>
      </c>
      <c r="C430" s="27">
        <v>0</v>
      </c>
      <c r="D430" s="27">
        <v>0</v>
      </c>
      <c r="E430" s="27">
        <v>918.36663818359375</v>
      </c>
      <c r="F430" s="27">
        <v>0</v>
      </c>
      <c r="G430" s="27">
        <v>1780</v>
      </c>
      <c r="H430" s="27">
        <v>637.80583333333334</v>
      </c>
      <c r="I430" s="27">
        <v>4.4444444444444444E-3</v>
      </c>
    </row>
    <row r="431" spans="1:9" x14ac:dyDescent="0.2">
      <c r="A431" s="23">
        <v>45675.458333333336</v>
      </c>
      <c r="B431" s="25">
        <v>45675.458333333336</v>
      </c>
      <c r="C431" s="27">
        <v>0</v>
      </c>
      <c r="D431" s="27">
        <v>0</v>
      </c>
      <c r="E431" s="27">
        <v>918.36663818359375</v>
      </c>
      <c r="F431" s="27">
        <v>0</v>
      </c>
      <c r="G431" s="27">
        <v>1780</v>
      </c>
      <c r="H431" s="27">
        <v>637.61305555555555</v>
      </c>
      <c r="I431" s="27">
        <v>0</v>
      </c>
    </row>
    <row r="432" spans="1:9" x14ac:dyDescent="0.2">
      <c r="A432" s="23">
        <v>45675.5</v>
      </c>
      <c r="B432" s="25">
        <v>45675.5</v>
      </c>
      <c r="C432" s="27">
        <v>0</v>
      </c>
      <c r="D432" s="27">
        <v>0</v>
      </c>
      <c r="E432" s="27">
        <v>918.36663818359375</v>
      </c>
      <c r="F432" s="27">
        <v>0</v>
      </c>
      <c r="G432" s="27">
        <v>1780</v>
      </c>
      <c r="H432" s="27">
        <v>635.88833333333332</v>
      </c>
      <c r="I432" s="27">
        <v>8.8888888888888889E-3</v>
      </c>
    </row>
    <row r="433" spans="1:9" x14ac:dyDescent="0.2">
      <c r="A433" s="23">
        <v>45675.541666666664</v>
      </c>
      <c r="B433" s="25">
        <v>45675.541666666664</v>
      </c>
      <c r="C433" s="27">
        <v>0</v>
      </c>
      <c r="D433" s="27">
        <v>0</v>
      </c>
      <c r="E433" s="27">
        <v>918.36663818359375</v>
      </c>
      <c r="F433" s="27">
        <v>0</v>
      </c>
      <c r="G433" s="27">
        <v>1780</v>
      </c>
      <c r="H433" s="27">
        <v>639.01944444444439</v>
      </c>
      <c r="I433" s="27">
        <v>1.3333333333333334E-2</v>
      </c>
    </row>
    <row r="434" spans="1:9" x14ac:dyDescent="0.2">
      <c r="A434" s="23">
        <v>45675.583333333336</v>
      </c>
      <c r="B434" s="25">
        <v>45675.583333333336</v>
      </c>
      <c r="C434" s="27">
        <v>0</v>
      </c>
      <c r="D434" s="27">
        <v>0</v>
      </c>
      <c r="E434" s="27">
        <v>918.36663818359375</v>
      </c>
      <c r="F434" s="27">
        <v>0</v>
      </c>
      <c r="G434" s="27">
        <v>1780</v>
      </c>
      <c r="H434" s="27">
        <v>638.83611111111111</v>
      </c>
      <c r="I434" s="27">
        <v>4.4444444444444444E-3</v>
      </c>
    </row>
    <row r="435" spans="1:9" x14ac:dyDescent="0.2">
      <c r="A435" s="23">
        <v>45675.625</v>
      </c>
      <c r="B435" s="25">
        <v>45675.625</v>
      </c>
      <c r="C435" s="27">
        <v>0</v>
      </c>
      <c r="D435" s="27">
        <v>0</v>
      </c>
      <c r="E435" s="27">
        <v>918.36663818359375</v>
      </c>
      <c r="F435" s="27">
        <v>0</v>
      </c>
      <c r="G435" s="27">
        <v>1780</v>
      </c>
      <c r="H435" s="27">
        <v>635.87750000000005</v>
      </c>
      <c r="I435" s="27">
        <v>0</v>
      </c>
    </row>
    <row r="436" spans="1:9" x14ac:dyDescent="0.2">
      <c r="A436" s="23">
        <v>45675.666666666664</v>
      </c>
      <c r="B436" s="25">
        <v>45675.666666666664</v>
      </c>
      <c r="C436" s="27">
        <v>0</v>
      </c>
      <c r="D436" s="27">
        <v>0</v>
      </c>
      <c r="E436" s="27">
        <v>918.36663818359375</v>
      </c>
      <c r="F436" s="27">
        <v>0</v>
      </c>
      <c r="G436" s="27">
        <v>1780</v>
      </c>
      <c r="H436" s="27">
        <v>637.13277777777773</v>
      </c>
      <c r="I436" s="27">
        <v>4.4444444444444444E-3</v>
      </c>
    </row>
    <row r="437" spans="1:9" x14ac:dyDescent="0.2">
      <c r="A437" s="23">
        <v>45675.708333333336</v>
      </c>
      <c r="B437" s="25">
        <v>45675.708333333336</v>
      </c>
      <c r="C437" s="27">
        <v>0</v>
      </c>
      <c r="D437" s="27">
        <v>0</v>
      </c>
      <c r="E437" s="27">
        <v>918.36663818359375</v>
      </c>
      <c r="F437" s="27">
        <v>0</v>
      </c>
      <c r="G437" s="27">
        <v>1780</v>
      </c>
      <c r="H437" s="27">
        <v>637.81916666666666</v>
      </c>
      <c r="I437" s="27">
        <v>1.3333333333333334E-2</v>
      </c>
    </row>
    <row r="438" spans="1:9" x14ac:dyDescent="0.2">
      <c r="A438" s="23">
        <v>45675.75</v>
      </c>
      <c r="B438" s="25">
        <v>45675.75</v>
      </c>
      <c r="C438" s="27">
        <v>0</v>
      </c>
      <c r="D438" s="27">
        <v>0</v>
      </c>
      <c r="E438" s="27">
        <v>918.36663818359375</v>
      </c>
      <c r="F438" s="27">
        <v>0</v>
      </c>
      <c r="G438" s="27">
        <v>1780</v>
      </c>
      <c r="H438" s="27">
        <v>636.97277777777776</v>
      </c>
      <c r="I438" s="27">
        <v>4.4444444444444444E-3</v>
      </c>
    </row>
    <row r="439" spans="1:9" x14ac:dyDescent="0.2">
      <c r="A439" s="23">
        <v>45675.791666666664</v>
      </c>
      <c r="B439" s="25">
        <v>45675.791666666664</v>
      </c>
      <c r="C439" s="27">
        <v>0</v>
      </c>
      <c r="D439" s="27">
        <v>0</v>
      </c>
      <c r="E439" s="27">
        <v>918.36663818359375</v>
      </c>
      <c r="F439" s="27">
        <v>0</v>
      </c>
      <c r="G439" s="27">
        <v>1780</v>
      </c>
      <c r="H439" s="27">
        <v>635.53055555555557</v>
      </c>
      <c r="I439" s="27">
        <v>8.8888888888888889E-3</v>
      </c>
    </row>
    <row r="440" spans="1:9" x14ac:dyDescent="0.2">
      <c r="A440" s="23">
        <v>45675.833333333336</v>
      </c>
      <c r="B440" s="25">
        <v>45675.833333333336</v>
      </c>
      <c r="C440" s="27">
        <v>0</v>
      </c>
      <c r="D440" s="27">
        <v>0</v>
      </c>
      <c r="E440" s="27">
        <v>918.36663818359375</v>
      </c>
      <c r="F440" s="27">
        <v>0</v>
      </c>
      <c r="G440" s="27">
        <v>1780</v>
      </c>
      <c r="H440" s="27">
        <v>638.31888888888886</v>
      </c>
      <c r="I440" s="27">
        <v>1.3333333333333334E-2</v>
      </c>
    </row>
    <row r="441" spans="1:9" x14ac:dyDescent="0.2">
      <c r="A441" s="23">
        <v>45675.875</v>
      </c>
      <c r="B441" s="25">
        <v>45675.875</v>
      </c>
      <c r="C441" s="27">
        <v>0</v>
      </c>
      <c r="D441" s="27">
        <v>0</v>
      </c>
      <c r="E441" s="27">
        <v>918.36663818359375</v>
      </c>
      <c r="F441" s="27">
        <v>0</v>
      </c>
      <c r="G441" s="27">
        <v>1780</v>
      </c>
      <c r="H441" s="27">
        <v>639.61861111111114</v>
      </c>
      <c r="I441" s="27">
        <v>0</v>
      </c>
    </row>
    <row r="442" spans="1:9" x14ac:dyDescent="0.2">
      <c r="A442" s="23">
        <v>45675.916666666664</v>
      </c>
      <c r="B442" s="25">
        <v>45675.916666666664</v>
      </c>
      <c r="C442" s="27">
        <v>0</v>
      </c>
      <c r="D442" s="27">
        <v>0</v>
      </c>
      <c r="E442" s="27">
        <v>918.36663818359375</v>
      </c>
      <c r="F442" s="27">
        <v>0</v>
      </c>
      <c r="G442" s="27">
        <v>1780</v>
      </c>
      <c r="H442" s="27">
        <v>639.58722222222218</v>
      </c>
      <c r="I442" s="27">
        <v>0</v>
      </c>
    </row>
    <row r="443" spans="1:9" x14ac:dyDescent="0.2">
      <c r="A443" s="23">
        <v>45675.958333333336</v>
      </c>
      <c r="B443" s="25">
        <v>45675.958333333336</v>
      </c>
      <c r="C443" s="27">
        <v>0</v>
      </c>
      <c r="D443" s="27">
        <v>0</v>
      </c>
      <c r="E443" s="27">
        <v>918.36663818359375</v>
      </c>
      <c r="F443" s="27">
        <v>0</v>
      </c>
      <c r="G443" s="27">
        <v>1780</v>
      </c>
      <c r="H443" s="27">
        <v>639.75638888888886</v>
      </c>
      <c r="I443" s="27">
        <v>8.8888888888888889E-3</v>
      </c>
    </row>
    <row r="444" spans="1:9" x14ac:dyDescent="0.2">
      <c r="A444" s="23">
        <v>45676</v>
      </c>
      <c r="B444" s="25">
        <v>45676</v>
      </c>
      <c r="C444" s="27">
        <v>0</v>
      </c>
      <c r="D444" s="27">
        <v>0</v>
      </c>
      <c r="E444" s="27">
        <v>918.36663818359375</v>
      </c>
      <c r="F444" s="27">
        <v>0</v>
      </c>
      <c r="G444" s="27">
        <v>1780</v>
      </c>
      <c r="H444" s="27">
        <v>636.69944444444445</v>
      </c>
      <c r="I444" s="27">
        <v>0</v>
      </c>
    </row>
    <row r="445" spans="1:9" x14ac:dyDescent="0.2">
      <c r="A445" s="23">
        <v>45676.041666666664</v>
      </c>
      <c r="B445" s="25">
        <v>45676.041666666664</v>
      </c>
      <c r="C445" s="27">
        <v>0</v>
      </c>
      <c r="D445" s="27">
        <v>0</v>
      </c>
      <c r="E445" s="27">
        <v>918.36663818359375</v>
      </c>
      <c r="F445" s="27">
        <v>0</v>
      </c>
      <c r="G445" s="27">
        <v>1780</v>
      </c>
      <c r="H445" s="27">
        <v>639.41388888888889</v>
      </c>
      <c r="I445" s="27">
        <v>0</v>
      </c>
    </row>
    <row r="446" spans="1:9" x14ac:dyDescent="0.2">
      <c r="A446" s="23">
        <v>45676.083333333336</v>
      </c>
      <c r="B446" s="25">
        <v>45676.083333333336</v>
      </c>
      <c r="C446" s="27">
        <v>0</v>
      </c>
      <c r="D446" s="27">
        <v>0</v>
      </c>
      <c r="E446" s="27">
        <v>918.36663818359375</v>
      </c>
      <c r="F446" s="27">
        <v>0</v>
      </c>
      <c r="G446" s="27">
        <v>1780</v>
      </c>
      <c r="H446" s="27">
        <v>637.57249999999999</v>
      </c>
      <c r="I446" s="27">
        <v>8.8888888888888889E-3</v>
      </c>
    </row>
    <row r="447" spans="1:9" x14ac:dyDescent="0.2">
      <c r="A447" s="23">
        <v>45676.125</v>
      </c>
      <c r="B447" s="25">
        <v>45676.125</v>
      </c>
      <c r="C447" s="27">
        <v>0</v>
      </c>
      <c r="D447" s="27">
        <v>0</v>
      </c>
      <c r="E447" s="27">
        <v>918.36663818359375</v>
      </c>
      <c r="F447" s="27">
        <v>0</v>
      </c>
      <c r="G447" s="27">
        <v>1780</v>
      </c>
      <c r="H447" s="27">
        <v>641.10861111111114</v>
      </c>
      <c r="I447" s="27">
        <v>0</v>
      </c>
    </row>
    <row r="448" spans="1:9" x14ac:dyDescent="0.2">
      <c r="A448" s="23">
        <v>45676.166666666664</v>
      </c>
      <c r="B448" s="25">
        <v>45676.166666666664</v>
      </c>
      <c r="C448" s="27">
        <v>0</v>
      </c>
      <c r="D448" s="27">
        <v>0</v>
      </c>
      <c r="E448" s="27">
        <v>918.36663818359375</v>
      </c>
      <c r="F448" s="27">
        <v>0</v>
      </c>
      <c r="G448" s="27">
        <v>1780</v>
      </c>
      <c r="H448" s="27">
        <v>641.19416666666666</v>
      </c>
      <c r="I448" s="27">
        <v>1.3333333333333334E-2</v>
      </c>
    </row>
    <row r="449" spans="1:9" x14ac:dyDescent="0.2">
      <c r="A449" s="23">
        <v>45676.208333333336</v>
      </c>
      <c r="B449" s="25">
        <v>45676.208333333336</v>
      </c>
      <c r="C449" s="27">
        <v>0</v>
      </c>
      <c r="D449" s="27">
        <v>0</v>
      </c>
      <c r="E449" s="27">
        <v>918.36663818359375</v>
      </c>
      <c r="F449" s="27">
        <v>0</v>
      </c>
      <c r="G449" s="27">
        <v>1780</v>
      </c>
      <c r="H449" s="27">
        <v>642.49694444444447</v>
      </c>
      <c r="I449" s="27">
        <v>4.4444444444444444E-3</v>
      </c>
    </row>
    <row r="450" spans="1:9" x14ac:dyDescent="0.2">
      <c r="A450" s="23">
        <v>45676.25</v>
      </c>
      <c r="B450" s="25">
        <v>45676.25</v>
      </c>
      <c r="C450" s="27">
        <v>0</v>
      </c>
      <c r="D450" s="27">
        <v>0</v>
      </c>
      <c r="E450" s="27">
        <v>918.36663818359375</v>
      </c>
      <c r="F450" s="27">
        <v>0</v>
      </c>
      <c r="G450" s="27">
        <v>1780</v>
      </c>
      <c r="H450" s="27">
        <v>641.95305555555558</v>
      </c>
      <c r="I450" s="27">
        <v>4.4444444444444444E-3</v>
      </c>
    </row>
    <row r="451" spans="1:9" x14ac:dyDescent="0.2">
      <c r="A451" s="23">
        <v>45676.291666666664</v>
      </c>
      <c r="B451" s="25">
        <v>45676.291666666664</v>
      </c>
      <c r="C451" s="27">
        <v>0</v>
      </c>
      <c r="D451" s="27">
        <v>0</v>
      </c>
      <c r="E451" s="27">
        <v>918.36663818359375</v>
      </c>
      <c r="F451" s="27">
        <v>0</v>
      </c>
      <c r="G451" s="27">
        <v>1780</v>
      </c>
      <c r="H451" s="27">
        <v>641.51111111111106</v>
      </c>
      <c r="I451" s="27">
        <v>4.4444444444444444E-3</v>
      </c>
    </row>
    <row r="452" spans="1:9" x14ac:dyDescent="0.2">
      <c r="A452" s="23">
        <v>45676.333333333336</v>
      </c>
      <c r="B452" s="25">
        <v>45676.333333333336</v>
      </c>
      <c r="C452" s="27">
        <v>0</v>
      </c>
      <c r="D452" s="27">
        <v>0</v>
      </c>
      <c r="E452" s="27">
        <v>918.36663818359375</v>
      </c>
      <c r="F452" s="27">
        <v>0</v>
      </c>
      <c r="G452" s="27">
        <v>1780</v>
      </c>
      <c r="H452" s="27">
        <v>644.52472222222218</v>
      </c>
      <c r="I452" s="27">
        <v>0</v>
      </c>
    </row>
    <row r="453" spans="1:9" x14ac:dyDescent="0.2">
      <c r="A453" s="23">
        <v>45676.375</v>
      </c>
      <c r="B453" s="25">
        <v>45676.375</v>
      </c>
      <c r="C453" s="27">
        <v>0</v>
      </c>
      <c r="D453" s="27">
        <v>0</v>
      </c>
      <c r="E453" s="27">
        <v>918.36663818359375</v>
      </c>
      <c r="F453" s="27">
        <v>0</v>
      </c>
      <c r="G453" s="27">
        <v>1780</v>
      </c>
      <c r="H453" s="27">
        <v>644.23861111111114</v>
      </c>
      <c r="I453" s="27">
        <v>0</v>
      </c>
    </row>
    <row r="454" spans="1:9" x14ac:dyDescent="0.2">
      <c r="A454" s="23">
        <v>45676.416666666664</v>
      </c>
      <c r="B454" s="25">
        <v>45676.416666666664</v>
      </c>
      <c r="C454" s="27">
        <v>0</v>
      </c>
      <c r="D454" s="27">
        <v>0</v>
      </c>
      <c r="E454" s="27">
        <v>918.36663818359375</v>
      </c>
      <c r="F454" s="27">
        <v>0</v>
      </c>
      <c r="G454" s="27">
        <v>1780</v>
      </c>
      <c r="H454" s="27">
        <v>644.64666666666665</v>
      </c>
      <c r="I454" s="27">
        <v>4.4444444444444444E-3</v>
      </c>
    </row>
    <row r="455" spans="1:9" x14ac:dyDescent="0.2">
      <c r="A455" s="23">
        <v>45676.458333333336</v>
      </c>
      <c r="B455" s="25">
        <v>45676.458333333336</v>
      </c>
      <c r="C455" s="27">
        <v>0</v>
      </c>
      <c r="D455" s="27">
        <v>0</v>
      </c>
      <c r="E455" s="27">
        <v>918.36663818359375</v>
      </c>
      <c r="F455" s="27">
        <v>0</v>
      </c>
      <c r="G455" s="27">
        <v>1780</v>
      </c>
      <c r="H455" s="27">
        <v>648.2786111111111</v>
      </c>
      <c r="I455" s="27">
        <v>0</v>
      </c>
    </row>
    <row r="456" spans="1:9" x14ac:dyDescent="0.2">
      <c r="A456" s="23">
        <v>45676.5</v>
      </c>
      <c r="B456" s="25">
        <v>45676.5</v>
      </c>
      <c r="C456" s="27">
        <v>0</v>
      </c>
      <c r="D456" s="27">
        <v>0</v>
      </c>
      <c r="E456" s="27">
        <v>918.36663818359375</v>
      </c>
      <c r="F456" s="27">
        <v>0</v>
      </c>
      <c r="G456" s="27">
        <v>1780</v>
      </c>
      <c r="H456" s="27">
        <v>646.06805555555559</v>
      </c>
      <c r="I456" s="27">
        <v>0</v>
      </c>
    </row>
    <row r="457" spans="1:9" x14ac:dyDescent="0.2">
      <c r="A457" s="23">
        <v>45676.541666666664</v>
      </c>
      <c r="B457" s="25">
        <v>45676.541666666664</v>
      </c>
      <c r="C457" s="27">
        <v>0</v>
      </c>
      <c r="D457" s="27">
        <v>0</v>
      </c>
      <c r="E457" s="27">
        <v>918.36663818359375</v>
      </c>
      <c r="F457" s="27">
        <v>0</v>
      </c>
      <c r="G457" s="27">
        <v>1780</v>
      </c>
      <c r="H457" s="27">
        <v>645.10361111111115</v>
      </c>
      <c r="I457" s="27">
        <v>0</v>
      </c>
    </row>
    <row r="458" spans="1:9" x14ac:dyDescent="0.2">
      <c r="A458" s="23">
        <v>45676.583333333336</v>
      </c>
      <c r="B458" s="25">
        <v>45676.583333333336</v>
      </c>
      <c r="C458" s="27">
        <v>0</v>
      </c>
      <c r="D458" s="27">
        <v>0</v>
      </c>
      <c r="E458" s="27">
        <v>918.36663818359375</v>
      </c>
      <c r="F458" s="27">
        <v>0</v>
      </c>
      <c r="G458" s="27">
        <v>1780</v>
      </c>
      <c r="H458" s="27">
        <v>647.8655555555556</v>
      </c>
      <c r="I458" s="27">
        <v>4.4444444444444444E-3</v>
      </c>
    </row>
    <row r="459" spans="1:9" x14ac:dyDescent="0.2">
      <c r="A459" s="23">
        <v>45676.625</v>
      </c>
      <c r="B459" s="25">
        <v>45676.625</v>
      </c>
      <c r="C459" s="27">
        <v>0</v>
      </c>
      <c r="D459" s="27">
        <v>0</v>
      </c>
      <c r="E459" s="27">
        <v>918.36663818359375</v>
      </c>
      <c r="F459" s="27">
        <v>0</v>
      </c>
      <c r="G459" s="27">
        <v>1780</v>
      </c>
      <c r="H459" s="27">
        <v>649.255</v>
      </c>
      <c r="I459" s="27">
        <v>8.8888888888888889E-3</v>
      </c>
    </row>
    <row r="460" spans="1:9" x14ac:dyDescent="0.2">
      <c r="A460" s="23">
        <v>45676.666666666664</v>
      </c>
      <c r="B460" s="25">
        <v>45676.666666666664</v>
      </c>
      <c r="C460" s="27">
        <v>0</v>
      </c>
      <c r="D460" s="27">
        <v>0</v>
      </c>
      <c r="E460" s="27">
        <v>918.36663818359375</v>
      </c>
      <c r="F460" s="27">
        <v>0</v>
      </c>
      <c r="G460" s="27">
        <v>1780</v>
      </c>
      <c r="H460" s="27">
        <v>646.05111111111114</v>
      </c>
      <c r="I460" s="27">
        <v>1.3333333333333334E-2</v>
      </c>
    </row>
    <row r="461" spans="1:9" x14ac:dyDescent="0.2">
      <c r="A461" s="23">
        <v>45676.708333333336</v>
      </c>
      <c r="B461" s="25">
        <v>45676.708333333336</v>
      </c>
      <c r="C461" s="27">
        <v>0</v>
      </c>
      <c r="D461" s="27">
        <v>0</v>
      </c>
      <c r="E461" s="27">
        <v>918.36663818359375</v>
      </c>
      <c r="F461" s="27">
        <v>0</v>
      </c>
      <c r="G461" s="27">
        <v>1780</v>
      </c>
      <c r="H461" s="27">
        <v>648.73277777777776</v>
      </c>
      <c r="I461" s="27">
        <v>4.4444444444444444E-3</v>
      </c>
    </row>
    <row r="462" spans="1:9" x14ac:dyDescent="0.2">
      <c r="A462" s="23">
        <v>45676.75</v>
      </c>
      <c r="B462" s="25">
        <v>45676.75</v>
      </c>
      <c r="C462" s="27">
        <v>0</v>
      </c>
      <c r="D462" s="27">
        <v>0</v>
      </c>
      <c r="E462" s="27">
        <v>918.36663818359375</v>
      </c>
      <c r="F462" s="27">
        <v>0</v>
      </c>
      <c r="G462" s="27">
        <v>1780</v>
      </c>
      <c r="H462" s="27">
        <v>644.93222222222221</v>
      </c>
      <c r="I462" s="27">
        <v>0</v>
      </c>
    </row>
    <row r="463" spans="1:9" x14ac:dyDescent="0.2">
      <c r="A463" s="23">
        <v>45676.791666666664</v>
      </c>
      <c r="B463" s="25">
        <v>45676.791666666664</v>
      </c>
      <c r="C463" s="27">
        <v>0</v>
      </c>
      <c r="D463" s="27">
        <v>0</v>
      </c>
      <c r="E463" s="27">
        <v>918.36663818359375</v>
      </c>
      <c r="F463" s="27">
        <v>0</v>
      </c>
      <c r="G463" s="27">
        <v>1780</v>
      </c>
      <c r="H463" s="27">
        <v>640.01444444444439</v>
      </c>
      <c r="I463" s="27">
        <v>4.4444444444444444E-3</v>
      </c>
    </row>
    <row r="464" spans="1:9" x14ac:dyDescent="0.2">
      <c r="A464" s="23">
        <v>45676.833333333336</v>
      </c>
      <c r="B464" s="25">
        <v>45676.833333333336</v>
      </c>
      <c r="C464" s="27">
        <v>0</v>
      </c>
      <c r="D464" s="27">
        <v>0</v>
      </c>
      <c r="E464" s="27">
        <v>918.36663818359375</v>
      </c>
      <c r="F464" s="27">
        <v>0</v>
      </c>
      <c r="G464" s="27">
        <v>1780</v>
      </c>
      <c r="H464" s="27">
        <v>641.4952777777778</v>
      </c>
      <c r="I464" s="27">
        <v>0</v>
      </c>
    </row>
    <row r="465" spans="1:9" x14ac:dyDescent="0.2">
      <c r="A465" s="23">
        <v>45676.875</v>
      </c>
      <c r="B465" s="25">
        <v>45676.875</v>
      </c>
      <c r="C465" s="27">
        <v>0</v>
      </c>
      <c r="D465" s="27">
        <v>0</v>
      </c>
      <c r="E465" s="27">
        <v>918.36663818359375</v>
      </c>
      <c r="F465" s="27">
        <v>0</v>
      </c>
      <c r="G465" s="27">
        <v>1780</v>
      </c>
      <c r="H465" s="27">
        <v>636.96777777777777</v>
      </c>
      <c r="I465" s="27">
        <v>0</v>
      </c>
    </row>
    <row r="466" spans="1:9" x14ac:dyDescent="0.2">
      <c r="A466" s="23">
        <v>45676.916666666664</v>
      </c>
      <c r="B466" s="25">
        <v>45676.916666666664</v>
      </c>
      <c r="C466" s="27">
        <v>0</v>
      </c>
      <c r="D466" s="27">
        <v>0</v>
      </c>
      <c r="E466" s="27">
        <v>918.36663818359375</v>
      </c>
      <c r="F466" s="27">
        <v>0</v>
      </c>
      <c r="G466" s="27">
        <v>1780</v>
      </c>
      <c r="H466" s="27">
        <v>640.1630555555555</v>
      </c>
      <c r="I466" s="27">
        <v>8.8888888888888889E-3</v>
      </c>
    </row>
    <row r="467" spans="1:9" x14ac:dyDescent="0.2">
      <c r="A467" s="23">
        <v>45676.958333333336</v>
      </c>
      <c r="B467" s="25">
        <v>45676.958333333336</v>
      </c>
      <c r="C467" s="27">
        <v>0</v>
      </c>
      <c r="D467" s="27">
        <v>0</v>
      </c>
      <c r="E467" s="27">
        <v>918.36663818359375</v>
      </c>
      <c r="F467" s="27">
        <v>0</v>
      </c>
      <c r="G467" s="27">
        <v>1780</v>
      </c>
      <c r="H467" s="27">
        <v>637.64527777777778</v>
      </c>
      <c r="I467" s="27">
        <v>8.8888888888888889E-3</v>
      </c>
    </row>
    <row r="468" spans="1:9" x14ac:dyDescent="0.2">
      <c r="A468" s="23">
        <v>45677</v>
      </c>
      <c r="B468" s="25">
        <v>45677</v>
      </c>
      <c r="C468" s="27">
        <v>0</v>
      </c>
      <c r="D468" s="27">
        <v>0</v>
      </c>
      <c r="E468" s="27">
        <v>918.36663818359375</v>
      </c>
      <c r="F468" s="27">
        <v>0</v>
      </c>
      <c r="G468" s="27">
        <v>1780</v>
      </c>
      <c r="H468" s="27">
        <v>639.03583333333336</v>
      </c>
      <c r="I468" s="27">
        <v>0</v>
      </c>
    </row>
    <row r="469" spans="1:9" x14ac:dyDescent="0.2">
      <c r="A469" s="23">
        <v>45677.041666666664</v>
      </c>
      <c r="B469" s="25">
        <v>45677.041666666664</v>
      </c>
      <c r="C469" s="27">
        <v>0</v>
      </c>
      <c r="D469" s="27">
        <v>0</v>
      </c>
      <c r="E469" s="27">
        <v>918.36663818359375</v>
      </c>
      <c r="F469" s="27">
        <v>0</v>
      </c>
      <c r="G469" s="27">
        <v>1780</v>
      </c>
      <c r="H469" s="27">
        <v>641.56305555555559</v>
      </c>
      <c r="I469" s="27">
        <v>8.8888888888888889E-3</v>
      </c>
    </row>
    <row r="470" spans="1:9" x14ac:dyDescent="0.2">
      <c r="A470" s="23">
        <v>45677.083333333336</v>
      </c>
      <c r="B470" s="25">
        <v>45677.083333333336</v>
      </c>
      <c r="C470" s="27">
        <v>0</v>
      </c>
      <c r="D470" s="27">
        <v>0</v>
      </c>
      <c r="E470" s="27">
        <v>918.36663818359375</v>
      </c>
      <c r="F470" s="27">
        <v>0</v>
      </c>
      <c r="G470" s="27">
        <v>1780</v>
      </c>
      <c r="H470" s="27">
        <v>642.47</v>
      </c>
      <c r="I470" s="27">
        <v>4.4444444444444444E-3</v>
      </c>
    </row>
    <row r="471" spans="1:9" x14ac:dyDescent="0.2">
      <c r="A471" s="23">
        <v>45677.125</v>
      </c>
      <c r="B471" s="25">
        <v>45677.125</v>
      </c>
      <c r="C471" s="27">
        <v>0</v>
      </c>
      <c r="D471" s="27">
        <v>0</v>
      </c>
      <c r="E471" s="27">
        <v>918.36663818359375</v>
      </c>
      <c r="F471" s="27">
        <v>0</v>
      </c>
      <c r="G471" s="27">
        <v>1780</v>
      </c>
      <c r="H471" s="27">
        <v>639.23166666666668</v>
      </c>
      <c r="I471" s="27">
        <v>1.3333333333333334E-2</v>
      </c>
    </row>
    <row r="472" spans="1:9" x14ac:dyDescent="0.2">
      <c r="A472" s="23">
        <v>45677.166666666664</v>
      </c>
      <c r="B472" s="25">
        <v>45677.166666666664</v>
      </c>
      <c r="C472" s="27">
        <v>0</v>
      </c>
      <c r="D472" s="27">
        <v>0</v>
      </c>
      <c r="E472" s="27">
        <v>918.36663818359375</v>
      </c>
      <c r="F472" s="27">
        <v>0</v>
      </c>
      <c r="G472" s="27">
        <v>1780</v>
      </c>
      <c r="H472" s="27">
        <v>641.17999999999995</v>
      </c>
      <c r="I472" s="27">
        <v>0</v>
      </c>
    </row>
    <row r="473" spans="1:9" x14ac:dyDescent="0.2">
      <c r="A473" s="23">
        <v>45677.208333333336</v>
      </c>
      <c r="B473" s="25">
        <v>45677.208333333336</v>
      </c>
      <c r="C473" s="27">
        <v>0</v>
      </c>
      <c r="D473" s="27">
        <v>0</v>
      </c>
      <c r="E473" s="27">
        <v>918.36663818359375</v>
      </c>
      <c r="F473" s="27">
        <v>0</v>
      </c>
      <c r="G473" s="27">
        <v>1780</v>
      </c>
      <c r="H473" s="27">
        <v>639.6008333333333</v>
      </c>
      <c r="I473" s="27">
        <v>0</v>
      </c>
    </row>
    <row r="474" spans="1:9" x14ac:dyDescent="0.2">
      <c r="A474" s="23">
        <v>45677.25</v>
      </c>
      <c r="B474" s="25">
        <v>45677.25</v>
      </c>
      <c r="C474" s="27">
        <v>0</v>
      </c>
      <c r="D474" s="27">
        <v>0</v>
      </c>
      <c r="E474" s="27">
        <v>918.36663818359375</v>
      </c>
      <c r="F474" s="27">
        <v>0</v>
      </c>
      <c r="G474" s="27">
        <v>1780</v>
      </c>
      <c r="H474" s="27">
        <v>637.83916666666664</v>
      </c>
      <c r="I474" s="27">
        <v>0</v>
      </c>
    </row>
    <row r="475" spans="1:9" x14ac:dyDescent="0.2">
      <c r="A475" s="23">
        <v>45677.291666666664</v>
      </c>
      <c r="B475" s="25">
        <v>45677.291666666664</v>
      </c>
      <c r="C475" s="27">
        <v>0</v>
      </c>
      <c r="D475" s="27">
        <v>0</v>
      </c>
      <c r="E475" s="27">
        <v>918.36663818359375</v>
      </c>
      <c r="F475" s="27">
        <v>0</v>
      </c>
      <c r="G475" s="27">
        <v>1780</v>
      </c>
      <c r="H475" s="27">
        <v>636.35583333333329</v>
      </c>
      <c r="I475" s="27">
        <v>8.8888888888888889E-3</v>
      </c>
    </row>
    <row r="476" spans="1:9" x14ac:dyDescent="0.2">
      <c r="A476" s="23">
        <v>45677.333333333336</v>
      </c>
      <c r="B476" s="25">
        <v>45677.333333333336</v>
      </c>
      <c r="C476" s="27">
        <v>0</v>
      </c>
      <c r="D476" s="27">
        <v>0</v>
      </c>
      <c r="E476" s="27">
        <v>918.36663818359375</v>
      </c>
      <c r="F476" s="27">
        <v>0</v>
      </c>
      <c r="G476" s="27">
        <v>1780</v>
      </c>
      <c r="H476" s="27">
        <v>636.66277777777782</v>
      </c>
      <c r="I476" s="27">
        <v>4.4444444444444444E-3</v>
      </c>
    </row>
    <row r="477" spans="1:9" x14ac:dyDescent="0.2">
      <c r="A477" s="23">
        <v>45677.375</v>
      </c>
      <c r="B477" s="25">
        <v>45677.375</v>
      </c>
      <c r="C477" s="27">
        <v>0</v>
      </c>
      <c r="D477" s="27">
        <v>0</v>
      </c>
      <c r="E477" s="27">
        <v>918.36663818359375</v>
      </c>
      <c r="F477" s="27">
        <v>0</v>
      </c>
      <c r="G477" s="27">
        <v>1780</v>
      </c>
      <c r="H477" s="27">
        <v>636.76833333333332</v>
      </c>
      <c r="I477" s="27">
        <v>8.8888888888888889E-3</v>
      </c>
    </row>
    <row r="478" spans="1:9" x14ac:dyDescent="0.2">
      <c r="A478" s="23">
        <v>45677.416666666664</v>
      </c>
      <c r="B478" s="25">
        <v>45677.416666666664</v>
      </c>
      <c r="C478" s="27">
        <v>0</v>
      </c>
      <c r="D478" s="27">
        <v>0</v>
      </c>
      <c r="E478" s="27">
        <v>918.36663818359375</v>
      </c>
      <c r="F478" s="27">
        <v>0</v>
      </c>
      <c r="G478" s="27">
        <v>1780</v>
      </c>
      <c r="H478" s="27">
        <v>637.16194444444443</v>
      </c>
      <c r="I478" s="27">
        <v>4.4444444444444444E-3</v>
      </c>
    </row>
    <row r="479" spans="1:9" x14ac:dyDescent="0.2">
      <c r="A479" s="23">
        <v>45677.458333333336</v>
      </c>
      <c r="B479" s="25">
        <v>45677.458333333336</v>
      </c>
      <c r="C479" s="27">
        <v>0</v>
      </c>
      <c r="D479" s="27">
        <v>0</v>
      </c>
      <c r="E479" s="27">
        <v>918.36663818359375</v>
      </c>
      <c r="F479" s="27">
        <v>0</v>
      </c>
      <c r="G479" s="27">
        <v>1780</v>
      </c>
      <c r="H479" s="27">
        <v>636.04888888888888</v>
      </c>
      <c r="I479" s="27">
        <v>4.4444444444444444E-3</v>
      </c>
    </row>
    <row r="480" spans="1:9" x14ac:dyDescent="0.2">
      <c r="A480" s="23">
        <v>45677.5</v>
      </c>
      <c r="B480" s="25">
        <v>45677.5</v>
      </c>
      <c r="C480" s="27">
        <v>0</v>
      </c>
      <c r="D480" s="27">
        <v>0</v>
      </c>
      <c r="E480" s="27">
        <v>918.36663818359375</v>
      </c>
      <c r="F480" s="27">
        <v>0</v>
      </c>
      <c r="G480" s="27">
        <v>1780</v>
      </c>
      <c r="H480" s="27">
        <v>635.31305555555559</v>
      </c>
      <c r="I480" s="27">
        <v>0</v>
      </c>
    </row>
    <row r="481" spans="1:9" x14ac:dyDescent="0.2">
      <c r="A481" s="23">
        <v>45677.541666666664</v>
      </c>
      <c r="B481" s="25">
        <v>45677.541666666664</v>
      </c>
      <c r="C481" s="27">
        <v>0</v>
      </c>
      <c r="D481" s="27">
        <v>0</v>
      </c>
      <c r="E481" s="27">
        <v>918.36663818359375</v>
      </c>
      <c r="F481" s="27">
        <v>0</v>
      </c>
      <c r="G481" s="27">
        <v>1780</v>
      </c>
      <c r="H481" s="27">
        <v>637.02027777777778</v>
      </c>
      <c r="I481" s="27">
        <v>4.4444444444444444E-3</v>
      </c>
    </row>
    <row r="482" spans="1:9" x14ac:dyDescent="0.2">
      <c r="A482" s="23">
        <v>45677.583333333336</v>
      </c>
      <c r="B482" s="25">
        <v>45677.583333333336</v>
      </c>
      <c r="C482" s="27">
        <v>0</v>
      </c>
      <c r="D482" s="27">
        <v>0</v>
      </c>
      <c r="E482" s="27">
        <v>918.36663818359375</v>
      </c>
      <c r="F482" s="27">
        <v>0</v>
      </c>
      <c r="G482" s="27">
        <v>1780</v>
      </c>
      <c r="H482" s="27">
        <v>638.02305555555552</v>
      </c>
      <c r="I482" s="27">
        <v>0</v>
      </c>
    </row>
    <row r="483" spans="1:9" x14ac:dyDescent="0.2">
      <c r="A483" s="23">
        <v>45677.625</v>
      </c>
      <c r="B483" s="25">
        <v>45677.625</v>
      </c>
      <c r="C483" s="27">
        <v>0</v>
      </c>
      <c r="D483" s="27">
        <v>0</v>
      </c>
      <c r="E483" s="27">
        <v>918.36663818359375</v>
      </c>
      <c r="F483" s="27">
        <v>0</v>
      </c>
      <c r="G483" s="27">
        <v>1780</v>
      </c>
      <c r="H483" s="27">
        <v>637.42777777777781</v>
      </c>
      <c r="I483" s="27">
        <v>8.8888888888888889E-3</v>
      </c>
    </row>
    <row r="484" spans="1:9" x14ac:dyDescent="0.2">
      <c r="A484" s="23">
        <v>45677.666666666664</v>
      </c>
      <c r="B484" s="25">
        <v>45677.666666666664</v>
      </c>
      <c r="C484" s="27">
        <v>0</v>
      </c>
      <c r="D484" s="27">
        <v>0</v>
      </c>
      <c r="E484" s="27">
        <v>918.36663818359375</v>
      </c>
      <c r="F484" s="27">
        <v>0</v>
      </c>
      <c r="G484" s="27">
        <v>1780</v>
      </c>
      <c r="H484" s="27">
        <v>639.95833333333337</v>
      </c>
      <c r="I484" s="27">
        <v>8.8888888888888889E-3</v>
      </c>
    </row>
    <row r="485" spans="1:9" x14ac:dyDescent="0.2">
      <c r="A485" s="23">
        <v>45677.708333333336</v>
      </c>
      <c r="B485" s="25">
        <v>45677.708333333336</v>
      </c>
      <c r="C485" s="27">
        <v>0</v>
      </c>
      <c r="D485" s="27">
        <v>0</v>
      </c>
      <c r="E485" s="27">
        <v>918.36663818359375</v>
      </c>
      <c r="F485" s="27">
        <v>0</v>
      </c>
      <c r="G485" s="27">
        <v>1780</v>
      </c>
      <c r="H485" s="27">
        <v>636.14888888888891</v>
      </c>
      <c r="I485" s="27">
        <v>4.4444444444444444E-3</v>
      </c>
    </row>
    <row r="486" spans="1:9" x14ac:dyDescent="0.2">
      <c r="A486" s="23">
        <v>45677.75</v>
      </c>
      <c r="B486" s="25">
        <v>45677.75</v>
      </c>
      <c r="C486" s="27">
        <v>0</v>
      </c>
      <c r="D486" s="27">
        <v>0</v>
      </c>
      <c r="E486" s="27">
        <v>918.36663818359375</v>
      </c>
      <c r="F486" s="27">
        <v>0</v>
      </c>
      <c r="G486" s="27">
        <v>1780</v>
      </c>
      <c r="H486" s="27">
        <v>637.77388888888891</v>
      </c>
      <c r="I486" s="27">
        <v>0</v>
      </c>
    </row>
    <row r="487" spans="1:9" x14ac:dyDescent="0.2">
      <c r="A487" s="23">
        <v>45677.791666666664</v>
      </c>
      <c r="B487" s="25">
        <v>45677.791666666664</v>
      </c>
      <c r="C487" s="27">
        <v>0</v>
      </c>
      <c r="D487" s="27">
        <v>0</v>
      </c>
      <c r="E487" s="27">
        <v>918.36663818359375</v>
      </c>
      <c r="F487" s="27">
        <v>0</v>
      </c>
      <c r="G487" s="27">
        <v>1780</v>
      </c>
      <c r="H487" s="27">
        <v>637.68083333333334</v>
      </c>
      <c r="I487" s="27">
        <v>0</v>
      </c>
    </row>
    <row r="488" spans="1:9" x14ac:dyDescent="0.2">
      <c r="A488" s="23">
        <v>45677.833333333336</v>
      </c>
      <c r="B488" s="25">
        <v>45677.833333333336</v>
      </c>
      <c r="C488" s="27">
        <v>0</v>
      </c>
      <c r="D488" s="27">
        <v>0</v>
      </c>
      <c r="E488" s="27">
        <v>918.36663818359375</v>
      </c>
      <c r="F488" s="27">
        <v>0</v>
      </c>
      <c r="G488" s="27">
        <v>1780</v>
      </c>
      <c r="H488" s="27">
        <v>634.09027777777783</v>
      </c>
      <c r="I488" s="27">
        <v>0</v>
      </c>
    </row>
    <row r="489" spans="1:9" x14ac:dyDescent="0.2">
      <c r="A489" s="23">
        <v>45677.875</v>
      </c>
      <c r="B489" s="25">
        <v>45677.875</v>
      </c>
      <c r="C489" s="27">
        <v>0</v>
      </c>
      <c r="D489" s="27">
        <v>0</v>
      </c>
      <c r="E489" s="27">
        <v>918.36663818359375</v>
      </c>
      <c r="F489" s="27">
        <v>0</v>
      </c>
      <c r="G489" s="27">
        <v>1780</v>
      </c>
      <c r="H489" s="27">
        <v>633.98833333333334</v>
      </c>
      <c r="I489" s="27">
        <v>0</v>
      </c>
    </row>
    <row r="490" spans="1:9" x14ac:dyDescent="0.2">
      <c r="A490" s="23">
        <v>45677.916666666664</v>
      </c>
      <c r="B490" s="25">
        <v>45677.916666666664</v>
      </c>
      <c r="C490" s="27">
        <v>0</v>
      </c>
      <c r="D490" s="27">
        <v>0</v>
      </c>
      <c r="E490" s="27">
        <v>918.36663818359375</v>
      </c>
      <c r="F490" s="27">
        <v>0</v>
      </c>
      <c r="G490" s="27">
        <v>1780</v>
      </c>
      <c r="H490" s="27">
        <v>636.37888888888892</v>
      </c>
      <c r="I490" s="27">
        <v>0</v>
      </c>
    </row>
    <row r="491" spans="1:9" x14ac:dyDescent="0.2">
      <c r="A491" s="23">
        <v>45677.958333333336</v>
      </c>
      <c r="B491" s="25">
        <v>45677.958333333336</v>
      </c>
      <c r="C491" s="27">
        <v>0</v>
      </c>
      <c r="D491" s="27">
        <v>0</v>
      </c>
      <c r="E491" s="27">
        <v>918.36663818359375</v>
      </c>
      <c r="F491" s="27">
        <v>0</v>
      </c>
      <c r="G491" s="27">
        <v>1780</v>
      </c>
      <c r="H491" s="27">
        <v>637.8991666666667</v>
      </c>
      <c r="I491" s="27">
        <v>8.8888888888888889E-3</v>
      </c>
    </row>
    <row r="492" spans="1:9" x14ac:dyDescent="0.2">
      <c r="A492" s="23">
        <v>45678</v>
      </c>
      <c r="B492" s="25">
        <v>45678</v>
      </c>
      <c r="C492" s="27">
        <v>0</v>
      </c>
      <c r="D492" s="27">
        <v>0</v>
      </c>
      <c r="E492" s="27">
        <v>918.36663818359375</v>
      </c>
      <c r="F492" s="27">
        <v>0</v>
      </c>
      <c r="G492" s="27">
        <v>1780</v>
      </c>
      <c r="H492" s="27">
        <v>636.01527777777778</v>
      </c>
      <c r="I492" s="27">
        <v>1.3333333333333334E-2</v>
      </c>
    </row>
    <row r="493" spans="1:9" x14ac:dyDescent="0.2">
      <c r="A493" s="23">
        <v>45678.041666666664</v>
      </c>
      <c r="B493" s="25">
        <v>45678.041666666664</v>
      </c>
      <c r="C493" s="27">
        <v>0</v>
      </c>
      <c r="D493" s="27">
        <v>0</v>
      </c>
      <c r="E493" s="27">
        <v>918.36663818359375</v>
      </c>
      <c r="F493" s="27">
        <v>0</v>
      </c>
      <c r="G493" s="27">
        <v>1780</v>
      </c>
      <c r="H493" s="27">
        <v>640.01083333333338</v>
      </c>
      <c r="I493" s="27">
        <v>0</v>
      </c>
    </row>
    <row r="494" spans="1:9" x14ac:dyDescent="0.2">
      <c r="A494" s="23">
        <v>45678.083333333336</v>
      </c>
      <c r="B494" s="25">
        <v>45678.083333333336</v>
      </c>
      <c r="C494" s="27">
        <v>0</v>
      </c>
      <c r="D494" s="27">
        <v>0</v>
      </c>
      <c r="E494" s="27">
        <v>918.36663818359375</v>
      </c>
      <c r="F494" s="27">
        <v>0</v>
      </c>
      <c r="G494" s="27">
        <v>1780</v>
      </c>
      <c r="H494" s="27">
        <v>639.70777777777778</v>
      </c>
      <c r="I494" s="27">
        <v>4.4444444444444444E-3</v>
      </c>
    </row>
    <row r="495" spans="1:9" x14ac:dyDescent="0.2">
      <c r="A495" s="23">
        <v>45678.125</v>
      </c>
      <c r="B495" s="25">
        <v>45678.125</v>
      </c>
      <c r="C495" s="27">
        <v>0</v>
      </c>
      <c r="D495" s="27">
        <v>0</v>
      </c>
      <c r="E495" s="27">
        <v>918.36663818359375</v>
      </c>
      <c r="F495" s="27">
        <v>0</v>
      </c>
      <c r="G495" s="27">
        <v>1780</v>
      </c>
      <c r="H495" s="27">
        <v>640.14833333333331</v>
      </c>
      <c r="I495" s="27">
        <v>1.3333333333333334E-2</v>
      </c>
    </row>
    <row r="496" spans="1:9" x14ac:dyDescent="0.2">
      <c r="A496" s="23">
        <v>45678.166666666664</v>
      </c>
      <c r="B496" s="25">
        <v>45678.166666666664</v>
      </c>
      <c r="C496" s="27">
        <v>0</v>
      </c>
      <c r="D496" s="27">
        <v>0</v>
      </c>
      <c r="E496" s="27">
        <v>918.36663818359375</v>
      </c>
      <c r="F496" s="27">
        <v>0</v>
      </c>
      <c r="G496" s="27">
        <v>1780</v>
      </c>
      <c r="H496" s="27">
        <v>640.90638888888884</v>
      </c>
      <c r="I496" s="27">
        <v>4.4444444444444444E-3</v>
      </c>
    </row>
    <row r="497" spans="1:9" x14ac:dyDescent="0.2">
      <c r="A497" s="23">
        <v>45678.208333333336</v>
      </c>
      <c r="B497" s="25">
        <v>45678.208333333336</v>
      </c>
      <c r="C497" s="27">
        <v>0</v>
      </c>
      <c r="D497" s="27">
        <v>0</v>
      </c>
      <c r="E497" s="27">
        <v>918.36663818359375</v>
      </c>
      <c r="F497" s="27">
        <v>0</v>
      </c>
      <c r="G497" s="27">
        <v>1780</v>
      </c>
      <c r="H497" s="27">
        <v>637.72722222222217</v>
      </c>
      <c r="I497" s="27">
        <v>0</v>
      </c>
    </row>
    <row r="498" spans="1:9" x14ac:dyDescent="0.2">
      <c r="A498" s="23">
        <v>45678.25</v>
      </c>
      <c r="B498" s="25">
        <v>45678.25</v>
      </c>
      <c r="C498" s="27">
        <v>0</v>
      </c>
      <c r="D498" s="27">
        <v>0</v>
      </c>
      <c r="E498" s="27">
        <v>918.36663818359375</v>
      </c>
      <c r="F498" s="27">
        <v>0</v>
      </c>
      <c r="G498" s="27">
        <v>1780</v>
      </c>
      <c r="H498" s="27">
        <v>636.05555555555554</v>
      </c>
      <c r="I498" s="27">
        <v>0</v>
      </c>
    </row>
    <row r="499" spans="1:9" x14ac:dyDescent="0.2">
      <c r="A499" s="23">
        <v>45678.291666666664</v>
      </c>
      <c r="B499" s="25">
        <v>45678.291666666664</v>
      </c>
      <c r="C499" s="27">
        <v>0</v>
      </c>
      <c r="D499" s="27">
        <v>0</v>
      </c>
      <c r="E499" s="27">
        <v>918.36663818359375</v>
      </c>
      <c r="F499" s="27">
        <v>0</v>
      </c>
      <c r="G499" s="27">
        <v>1780</v>
      </c>
      <c r="H499" s="27">
        <v>635.62583333333339</v>
      </c>
      <c r="I499" s="27">
        <v>4.4444444444444444E-3</v>
      </c>
    </row>
    <row r="500" spans="1:9" x14ac:dyDescent="0.2">
      <c r="A500" s="23">
        <v>45678.333333333336</v>
      </c>
      <c r="B500" s="25">
        <v>45678.333333333336</v>
      </c>
      <c r="C500" s="27">
        <v>0</v>
      </c>
      <c r="D500" s="27">
        <v>0</v>
      </c>
      <c r="E500" s="27">
        <v>918.36663818359375</v>
      </c>
      <c r="F500" s="27">
        <v>0</v>
      </c>
      <c r="G500" s="27">
        <v>1780</v>
      </c>
      <c r="H500" s="27">
        <v>635.125</v>
      </c>
      <c r="I500" s="27">
        <v>4.4444444444444444E-3</v>
      </c>
    </row>
    <row r="501" spans="1:9" x14ac:dyDescent="0.2">
      <c r="A501" s="23">
        <v>45678.375</v>
      </c>
      <c r="B501" s="25">
        <v>45678.375</v>
      </c>
      <c r="C501" s="27">
        <v>118.58102775891622</v>
      </c>
      <c r="D501" s="27">
        <v>46.808582732362879</v>
      </c>
      <c r="E501" s="27">
        <v>918.68916644626188</v>
      </c>
      <c r="F501" s="27">
        <v>1405.4158333333332</v>
      </c>
      <c r="G501" s="27">
        <v>1780</v>
      </c>
      <c r="H501" s="27">
        <v>637.44611111111112</v>
      </c>
      <c r="I501" s="27">
        <v>362.78638888888889</v>
      </c>
    </row>
    <row r="502" spans="1:9" x14ac:dyDescent="0.2">
      <c r="A502" s="23">
        <v>45678.416666666664</v>
      </c>
      <c r="B502" s="25">
        <v>45678.416666666664</v>
      </c>
      <c r="C502" s="27">
        <v>145.34933333079019</v>
      </c>
      <c r="D502" s="27">
        <v>59.299999237060547</v>
      </c>
      <c r="E502" s="27">
        <v>919.68598627726237</v>
      </c>
      <c r="F502" s="27">
        <v>1779.8094444444444</v>
      </c>
      <c r="G502" s="27">
        <v>1780</v>
      </c>
      <c r="H502" s="27">
        <v>639.05111111111114</v>
      </c>
      <c r="I502" s="27">
        <v>459.60277777777776</v>
      </c>
    </row>
    <row r="503" spans="1:9" x14ac:dyDescent="0.2">
      <c r="A503" s="23">
        <v>45678.458333333336</v>
      </c>
      <c r="B503" s="25">
        <v>45678.458333333336</v>
      </c>
      <c r="C503" s="27">
        <v>93.416027848985465</v>
      </c>
      <c r="D503" s="27">
        <v>38.479110616048175</v>
      </c>
      <c r="E503" s="27">
        <v>920.63819890340164</v>
      </c>
      <c r="F503" s="27">
        <v>1157.0525</v>
      </c>
      <c r="G503" s="27">
        <v>1780</v>
      </c>
      <c r="H503" s="27">
        <v>637.85416666666663</v>
      </c>
      <c r="I503" s="27">
        <v>298.52111111111111</v>
      </c>
    </row>
    <row r="504" spans="1:9" x14ac:dyDescent="0.2">
      <c r="A504" s="23">
        <v>45678.5</v>
      </c>
      <c r="B504" s="25">
        <v>45678.5</v>
      </c>
      <c r="C504" s="27">
        <v>117.80663892110189</v>
      </c>
      <c r="D504" s="27">
        <v>48.542777153493631</v>
      </c>
      <c r="E504" s="27">
        <v>921.2648742167155</v>
      </c>
      <c r="F504" s="27">
        <v>1457.0019444444445</v>
      </c>
      <c r="G504" s="27">
        <v>1780</v>
      </c>
      <c r="H504" s="27">
        <v>640.22944444444443</v>
      </c>
      <c r="I504" s="27">
        <v>376.55416666666667</v>
      </c>
    </row>
    <row r="505" spans="1:9" x14ac:dyDescent="0.2">
      <c r="A505" s="23">
        <v>45678.541666666664</v>
      </c>
      <c r="B505" s="25">
        <v>45678.541666666664</v>
      </c>
      <c r="C505" s="27">
        <v>0</v>
      </c>
      <c r="D505" s="27">
        <v>0</v>
      </c>
      <c r="E505" s="27">
        <v>921.70001220703125</v>
      </c>
      <c r="F505" s="27">
        <v>0</v>
      </c>
      <c r="G505" s="27">
        <v>1780</v>
      </c>
      <c r="H505" s="27">
        <v>639.49222222222227</v>
      </c>
      <c r="I505" s="27">
        <v>4.4444444444444444E-3</v>
      </c>
    </row>
    <row r="506" spans="1:9" x14ac:dyDescent="0.2">
      <c r="A506" s="23">
        <v>45678.583333333336</v>
      </c>
      <c r="B506" s="25">
        <v>45678.583333333336</v>
      </c>
      <c r="C506" s="27">
        <v>11.637777790493436</v>
      </c>
      <c r="D506" s="27">
        <v>4.6163332757684916</v>
      </c>
      <c r="E506" s="27">
        <v>921.70341415405278</v>
      </c>
      <c r="F506" s="27">
        <v>138.54138888888889</v>
      </c>
      <c r="G506" s="27">
        <v>1780</v>
      </c>
      <c r="H506" s="27">
        <v>641.06388888888887</v>
      </c>
      <c r="I506" s="27">
        <v>35.739444444444445</v>
      </c>
    </row>
    <row r="507" spans="1:9" x14ac:dyDescent="0.2">
      <c r="A507" s="23">
        <v>45678.625</v>
      </c>
      <c r="B507" s="25">
        <v>45678.625</v>
      </c>
      <c r="C507" s="27">
        <v>136.59638889736598</v>
      </c>
      <c r="D507" s="27">
        <v>56.772693715652245</v>
      </c>
      <c r="E507" s="27">
        <v>922.29543045043943</v>
      </c>
      <c r="F507" s="27">
        <v>1703.9944444444445</v>
      </c>
      <c r="G507" s="27">
        <v>1780</v>
      </c>
      <c r="H507" s="27">
        <v>640.93944444444446</v>
      </c>
      <c r="I507" s="27">
        <v>440.47694444444443</v>
      </c>
    </row>
    <row r="508" spans="1:9" x14ac:dyDescent="0.2">
      <c r="A508" s="23">
        <v>45678.666666666664</v>
      </c>
      <c r="B508" s="25">
        <v>45678.666666666664</v>
      </c>
      <c r="C508" s="27">
        <v>70.740861095852324</v>
      </c>
      <c r="D508" s="27">
        <v>29.690610731310315</v>
      </c>
      <c r="E508" s="27">
        <v>922.90469680786134</v>
      </c>
      <c r="F508" s="27">
        <v>891.47611111111109</v>
      </c>
      <c r="G508" s="27">
        <v>1780</v>
      </c>
      <c r="H508" s="27">
        <v>638.5336111111111</v>
      </c>
      <c r="I508" s="27">
        <v>230.15222222222224</v>
      </c>
    </row>
    <row r="509" spans="1:9" x14ac:dyDescent="0.2">
      <c r="A509" s="23">
        <v>45678.708333333336</v>
      </c>
      <c r="B509" s="25">
        <v>45678.708333333336</v>
      </c>
      <c r="C509" s="27">
        <v>141.83569441477457</v>
      </c>
      <c r="D509" s="27">
        <v>59.283527015050254</v>
      </c>
      <c r="E509" s="27">
        <v>923.80456914265949</v>
      </c>
      <c r="F509" s="27">
        <v>1779.888611111111</v>
      </c>
      <c r="G509" s="27">
        <v>1780</v>
      </c>
      <c r="H509" s="27">
        <v>643.0244444444445</v>
      </c>
      <c r="I509" s="27">
        <v>460.01305555555558</v>
      </c>
    </row>
    <row r="510" spans="1:9" x14ac:dyDescent="0.2">
      <c r="A510" s="23">
        <v>45678.75</v>
      </c>
      <c r="B510" s="25">
        <v>45678.75</v>
      </c>
      <c r="C510" s="27">
        <v>39.700249998304578</v>
      </c>
      <c r="D510" s="27">
        <v>17.077583115266428</v>
      </c>
      <c r="E510" s="27">
        <v>924.55960683186845</v>
      </c>
      <c r="F510" s="27">
        <v>512.56416666666667</v>
      </c>
      <c r="G510" s="27">
        <v>1780</v>
      </c>
      <c r="H510" s="27">
        <v>640.88388888888892</v>
      </c>
      <c r="I510" s="27">
        <v>132.67944444444444</v>
      </c>
    </row>
    <row r="511" spans="1:9" x14ac:dyDescent="0.2">
      <c r="A511" s="23">
        <v>45678.791666666664</v>
      </c>
      <c r="B511" s="25">
        <v>45678.791666666664</v>
      </c>
      <c r="C511" s="27">
        <v>0</v>
      </c>
      <c r="D511" s="27">
        <v>0</v>
      </c>
      <c r="E511" s="27">
        <v>924.5999755859375</v>
      </c>
      <c r="F511" s="27">
        <v>0</v>
      </c>
      <c r="G511" s="27">
        <v>1780</v>
      </c>
      <c r="H511" s="27">
        <v>636.92277777777781</v>
      </c>
      <c r="I511" s="27">
        <v>1.7777777777777778E-2</v>
      </c>
    </row>
    <row r="512" spans="1:9" x14ac:dyDescent="0.2">
      <c r="A512" s="23">
        <v>45678.833333333336</v>
      </c>
      <c r="B512" s="25">
        <v>45678.833333333336</v>
      </c>
      <c r="C512" s="27">
        <v>17.475694464792809</v>
      </c>
      <c r="D512" s="27">
        <v>7.3844999061442085</v>
      </c>
      <c r="E512" s="27">
        <v>924.71766993204756</v>
      </c>
      <c r="F512" s="27">
        <v>221.63527777777779</v>
      </c>
      <c r="G512" s="27">
        <v>1780</v>
      </c>
      <c r="H512" s="27">
        <v>635.96333333333337</v>
      </c>
      <c r="I512" s="27">
        <v>57.335000000000001</v>
      </c>
    </row>
    <row r="513" spans="1:9" x14ac:dyDescent="0.2">
      <c r="A513" s="23">
        <v>45678.875</v>
      </c>
      <c r="B513" s="25">
        <v>45678.875</v>
      </c>
      <c r="C513" s="27">
        <v>109.60494448343913</v>
      </c>
      <c r="D513" s="27">
        <v>38.936582834654381</v>
      </c>
      <c r="E513" s="27">
        <v>924.9620328776042</v>
      </c>
      <c r="F513" s="27">
        <v>1169.2186111111112</v>
      </c>
      <c r="G513" s="27">
        <v>1780</v>
      </c>
      <c r="H513" s="27">
        <v>638.05222222222221</v>
      </c>
      <c r="I513" s="27">
        <v>301.74555555555554</v>
      </c>
    </row>
    <row r="514" spans="1:9" x14ac:dyDescent="0.2">
      <c r="A514" s="23">
        <v>45678.916666666664</v>
      </c>
      <c r="B514" s="25">
        <v>45678.916666666664</v>
      </c>
      <c r="C514" s="27">
        <v>168.33941668192546</v>
      </c>
      <c r="D514" s="27">
        <v>59.267054793039961</v>
      </c>
      <c r="E514" s="27">
        <v>925.92318079630536</v>
      </c>
      <c r="F514" s="27">
        <v>1779.9394444444445</v>
      </c>
      <c r="G514" s="27">
        <v>1780</v>
      </c>
      <c r="H514" s="27">
        <v>639.25805555555553</v>
      </c>
      <c r="I514" s="27">
        <v>459.51333333333332</v>
      </c>
    </row>
    <row r="515" spans="1:9" x14ac:dyDescent="0.2">
      <c r="A515" s="23">
        <v>45678.958333333336</v>
      </c>
      <c r="B515" s="25">
        <v>45678.958333333336</v>
      </c>
      <c r="C515" s="27">
        <v>152.71538886600069</v>
      </c>
      <c r="D515" s="27">
        <v>54.753665962219237</v>
      </c>
      <c r="E515" s="27">
        <v>926.93671869913737</v>
      </c>
      <c r="F515" s="27">
        <v>1644.5227777777777</v>
      </c>
      <c r="G515" s="27">
        <v>1780</v>
      </c>
      <c r="H515" s="27">
        <v>637.82861111111106</v>
      </c>
      <c r="I515" s="27">
        <v>424.28305555555556</v>
      </c>
    </row>
    <row r="516" spans="1:9" x14ac:dyDescent="0.2">
      <c r="A516" s="23">
        <v>45679</v>
      </c>
      <c r="B516" s="25">
        <v>45679</v>
      </c>
      <c r="C516" s="27">
        <v>41.433222325642902</v>
      </c>
      <c r="D516" s="27">
        <v>15.045110918151007</v>
      </c>
      <c r="E516" s="27">
        <v>927.40188154432508</v>
      </c>
      <c r="F516" s="27">
        <v>451.53250000000003</v>
      </c>
      <c r="G516" s="27">
        <v>1780</v>
      </c>
      <c r="H516" s="27">
        <v>636.72527777777782</v>
      </c>
      <c r="I516" s="27">
        <v>116.48138888888889</v>
      </c>
    </row>
    <row r="517" spans="1:9" x14ac:dyDescent="0.2">
      <c r="A517" s="23">
        <v>45679.041666666664</v>
      </c>
      <c r="B517" s="25">
        <v>45679.041666666664</v>
      </c>
      <c r="C517" s="27">
        <v>166.44372222052681</v>
      </c>
      <c r="D517" s="27">
        <v>59.267054793039961</v>
      </c>
      <c r="E517" s="27">
        <v>928.14344019571945</v>
      </c>
      <c r="F517" s="27">
        <v>1779.9669444444444</v>
      </c>
      <c r="G517" s="27">
        <v>1780</v>
      </c>
      <c r="H517" s="27">
        <v>637.18861111111107</v>
      </c>
      <c r="I517" s="27">
        <v>459.23027777777776</v>
      </c>
    </row>
    <row r="518" spans="1:9" x14ac:dyDescent="0.2">
      <c r="A518" s="23">
        <v>45679.083333333336</v>
      </c>
      <c r="B518" s="25">
        <v>45679.083333333336</v>
      </c>
      <c r="C518" s="27">
        <v>167.30902781168621</v>
      </c>
      <c r="D518" s="27">
        <v>59.267054793039961</v>
      </c>
      <c r="E518" s="27">
        <v>929.1602873229981</v>
      </c>
      <c r="F518" s="27">
        <v>1779.9416666666666</v>
      </c>
      <c r="G518" s="27">
        <v>1780</v>
      </c>
      <c r="H518" s="27">
        <v>641.30277777777781</v>
      </c>
      <c r="I518" s="27">
        <v>459.79527777777776</v>
      </c>
    </row>
    <row r="519" spans="1:9" x14ac:dyDescent="0.2">
      <c r="A519" s="23">
        <v>45679.125</v>
      </c>
      <c r="B519" s="25">
        <v>45679.125</v>
      </c>
      <c r="C519" s="27">
        <v>150.37277783287897</v>
      </c>
      <c r="D519" s="27">
        <v>56.58208260536194</v>
      </c>
      <c r="E519" s="27">
        <v>930.17597274780269</v>
      </c>
      <c r="F519" s="27">
        <v>1698.4083333333333</v>
      </c>
      <c r="G519" s="27">
        <v>1780</v>
      </c>
      <c r="H519" s="27">
        <v>641.04166666666663</v>
      </c>
      <c r="I519" s="27">
        <v>438.75194444444446</v>
      </c>
    </row>
    <row r="520" spans="1:9" x14ac:dyDescent="0.2">
      <c r="A520" s="23">
        <v>45679.166666666664</v>
      </c>
      <c r="B520" s="25">
        <v>45679.166666666664</v>
      </c>
      <c r="C520" s="27">
        <v>0</v>
      </c>
      <c r="D520" s="27">
        <v>0</v>
      </c>
      <c r="E520" s="27">
        <v>930.63336181640625</v>
      </c>
      <c r="F520" s="27">
        <v>0</v>
      </c>
      <c r="G520" s="27">
        <v>1780</v>
      </c>
      <c r="H520" s="27">
        <v>639.42083333333335</v>
      </c>
      <c r="I520" s="27">
        <v>4.4444444444444444E-3</v>
      </c>
    </row>
    <row r="521" spans="1:9" x14ac:dyDescent="0.2">
      <c r="A521" s="23">
        <v>45679.208333333336</v>
      </c>
      <c r="B521" s="25">
        <v>45679.208333333336</v>
      </c>
      <c r="C521" s="27">
        <v>0</v>
      </c>
      <c r="D521" s="27">
        <v>0</v>
      </c>
      <c r="E521" s="27">
        <v>930.63336181640625</v>
      </c>
      <c r="F521" s="27">
        <v>0</v>
      </c>
      <c r="G521" s="27">
        <v>1780</v>
      </c>
      <c r="H521" s="27">
        <v>640.22638888888889</v>
      </c>
      <c r="I521" s="27">
        <v>4.4444444444444444E-3</v>
      </c>
    </row>
    <row r="522" spans="1:9" x14ac:dyDescent="0.2">
      <c r="A522" s="23">
        <v>45679.25</v>
      </c>
      <c r="B522" s="25">
        <v>45679.25</v>
      </c>
      <c r="C522" s="27">
        <v>0</v>
      </c>
      <c r="D522" s="27">
        <v>0</v>
      </c>
      <c r="E522" s="27">
        <v>930.63336181640625</v>
      </c>
      <c r="F522" s="27">
        <v>0</v>
      </c>
      <c r="G522" s="27">
        <v>1780</v>
      </c>
      <c r="H522" s="27">
        <v>638.16916666666668</v>
      </c>
      <c r="I522" s="27">
        <v>4.4444444444444444E-3</v>
      </c>
    </row>
    <row r="523" spans="1:9" x14ac:dyDescent="0.2">
      <c r="A523" s="23">
        <v>45679.291666666664</v>
      </c>
      <c r="B523" s="25">
        <v>45679.291666666664</v>
      </c>
      <c r="C523" s="27">
        <v>0</v>
      </c>
      <c r="D523" s="27">
        <v>0</v>
      </c>
      <c r="E523" s="27">
        <v>930.63336181640625</v>
      </c>
      <c r="F523" s="27">
        <v>0</v>
      </c>
      <c r="G523" s="27">
        <v>1780</v>
      </c>
      <c r="H523" s="27">
        <v>635.57000000000005</v>
      </c>
      <c r="I523" s="27">
        <v>4.4444444444444444E-3</v>
      </c>
    </row>
    <row r="524" spans="1:9" x14ac:dyDescent="0.2">
      <c r="A524" s="23">
        <v>45679.333333333336</v>
      </c>
      <c r="B524" s="25">
        <v>45679.333333333336</v>
      </c>
      <c r="C524" s="27">
        <v>0</v>
      </c>
      <c r="D524" s="27">
        <v>0</v>
      </c>
      <c r="E524" s="27">
        <v>930.63336181640625</v>
      </c>
      <c r="F524" s="27">
        <v>0</v>
      </c>
      <c r="G524" s="27">
        <v>1780</v>
      </c>
      <c r="H524" s="27">
        <v>636.08805555555557</v>
      </c>
      <c r="I524" s="27">
        <v>4.4444444444444444E-3</v>
      </c>
    </row>
    <row r="525" spans="1:9" x14ac:dyDescent="0.2">
      <c r="A525" s="23">
        <v>45679.375</v>
      </c>
      <c r="B525" s="25">
        <v>45679.375</v>
      </c>
      <c r="C525" s="27">
        <v>0</v>
      </c>
      <c r="D525" s="27">
        <v>0</v>
      </c>
      <c r="E525" s="27">
        <v>930.63336181640625</v>
      </c>
      <c r="F525" s="27">
        <v>0</v>
      </c>
      <c r="G525" s="27">
        <v>1780</v>
      </c>
      <c r="H525" s="27">
        <v>636.61972222222221</v>
      </c>
      <c r="I525" s="27">
        <v>4.4444444444444444E-3</v>
      </c>
    </row>
    <row r="526" spans="1:9" x14ac:dyDescent="0.2">
      <c r="A526" s="23">
        <v>45679.416666666664</v>
      </c>
      <c r="B526" s="25">
        <v>45679.416666666664</v>
      </c>
      <c r="C526" s="27">
        <v>0</v>
      </c>
      <c r="D526" s="27">
        <v>0</v>
      </c>
      <c r="E526" s="27">
        <v>930.63336181640625</v>
      </c>
      <c r="F526" s="27">
        <v>0</v>
      </c>
      <c r="G526" s="27">
        <v>1780</v>
      </c>
      <c r="H526" s="27">
        <v>637.60277777777776</v>
      </c>
      <c r="I526" s="27">
        <v>0</v>
      </c>
    </row>
    <row r="527" spans="1:9" x14ac:dyDescent="0.2">
      <c r="A527" s="23">
        <v>45679.458333333336</v>
      </c>
      <c r="B527" s="25">
        <v>45679.458333333336</v>
      </c>
      <c r="C527" s="27">
        <v>4.4709722052680121</v>
      </c>
      <c r="D527" s="27">
        <v>1.6471110900243124</v>
      </c>
      <c r="E527" s="27">
        <v>930.63388020833338</v>
      </c>
      <c r="F527" s="27">
        <v>49.389166666666668</v>
      </c>
      <c r="G527" s="27">
        <v>1780</v>
      </c>
      <c r="H527" s="27">
        <v>636.47833333333335</v>
      </c>
      <c r="I527" s="27">
        <v>12.693333333333333</v>
      </c>
    </row>
    <row r="528" spans="1:9" x14ac:dyDescent="0.2">
      <c r="A528" s="23">
        <v>45679.5</v>
      </c>
      <c r="B528" s="25">
        <v>45679.5</v>
      </c>
      <c r="C528" s="27">
        <v>152.98755549112957</v>
      </c>
      <c r="D528" s="27">
        <v>59.085860350926716</v>
      </c>
      <c r="E528" s="27">
        <v>931.17706505669491</v>
      </c>
      <c r="F528" s="27">
        <v>1773.5594444444444</v>
      </c>
      <c r="G528" s="27">
        <v>1780</v>
      </c>
      <c r="H528" s="27">
        <v>637.02722222222224</v>
      </c>
      <c r="I528" s="27">
        <v>457.73888888888888</v>
      </c>
    </row>
    <row r="529" spans="1:9" x14ac:dyDescent="0.2">
      <c r="A529" s="23">
        <v>45679.541666666664</v>
      </c>
      <c r="B529" s="25">
        <v>45679.541666666664</v>
      </c>
      <c r="C529" s="27">
        <v>0</v>
      </c>
      <c r="D529" s="27">
        <v>0</v>
      </c>
      <c r="E529" s="27">
        <v>931.683349609375</v>
      </c>
      <c r="F529" s="27">
        <v>0</v>
      </c>
      <c r="G529" s="27">
        <v>1780</v>
      </c>
      <c r="H529" s="27">
        <v>636.49361111111114</v>
      </c>
      <c r="I529" s="27">
        <v>4.4444444444444444E-3</v>
      </c>
    </row>
    <row r="530" spans="1:9" x14ac:dyDescent="0.2">
      <c r="A530" s="23">
        <v>45679.583333333336</v>
      </c>
      <c r="B530" s="25">
        <v>45679.583333333336</v>
      </c>
      <c r="C530" s="27">
        <v>140.86980558183458</v>
      </c>
      <c r="D530" s="27">
        <v>55.020388182865247</v>
      </c>
      <c r="E530" s="27">
        <v>932.1285276624892</v>
      </c>
      <c r="F530" s="27">
        <v>1651.4977777777779</v>
      </c>
      <c r="G530" s="27">
        <v>1780</v>
      </c>
      <c r="H530" s="27">
        <v>639.23861111111114</v>
      </c>
      <c r="I530" s="27">
        <v>426.42138888888888</v>
      </c>
    </row>
    <row r="531" spans="1:9" x14ac:dyDescent="0.2">
      <c r="A531" s="23">
        <v>45679.625</v>
      </c>
      <c r="B531" s="25">
        <v>45679.625</v>
      </c>
      <c r="C531" s="27">
        <v>120.34847213745117</v>
      </c>
      <c r="D531" s="27">
        <v>47.703554941813152</v>
      </c>
      <c r="E531" s="27">
        <v>933.12340189615884</v>
      </c>
      <c r="F531" s="27">
        <v>1432.1741666666667</v>
      </c>
      <c r="G531" s="27">
        <v>1780</v>
      </c>
      <c r="H531" s="27">
        <v>636.96500000000003</v>
      </c>
      <c r="I531" s="27">
        <v>369.61138888888888</v>
      </c>
    </row>
    <row r="532" spans="1:9" x14ac:dyDescent="0.2">
      <c r="A532" s="23">
        <v>45679.666666666664</v>
      </c>
      <c r="B532" s="25">
        <v>45679.666666666664</v>
      </c>
      <c r="C532" s="27">
        <v>73.529999998410545</v>
      </c>
      <c r="D532" s="27">
        <v>29.167444071422022</v>
      </c>
      <c r="E532" s="27">
        <v>933.57444591946069</v>
      </c>
      <c r="F532" s="27">
        <v>875.48194444444448</v>
      </c>
      <c r="G532" s="27">
        <v>1780</v>
      </c>
      <c r="H532" s="27">
        <v>639.33055555555552</v>
      </c>
      <c r="I532" s="27">
        <v>226.19527777777779</v>
      </c>
    </row>
    <row r="533" spans="1:9" x14ac:dyDescent="0.2">
      <c r="A533" s="23">
        <v>45679.708333333336</v>
      </c>
      <c r="B533" s="25">
        <v>45679.708333333336</v>
      </c>
      <c r="C533" s="27">
        <v>149.50094445122613</v>
      </c>
      <c r="D533" s="27">
        <v>59.267054793039961</v>
      </c>
      <c r="E533" s="27">
        <v>934.46512047661679</v>
      </c>
      <c r="F533" s="27">
        <v>1780</v>
      </c>
      <c r="G533" s="27">
        <v>1780</v>
      </c>
      <c r="H533" s="27">
        <v>643.91666666666663</v>
      </c>
      <c r="I533" s="27">
        <v>460.01361111111112</v>
      </c>
    </row>
    <row r="534" spans="1:9" x14ac:dyDescent="0.2">
      <c r="A534" s="23">
        <v>45679.75</v>
      </c>
      <c r="B534" s="25">
        <v>45679.75</v>
      </c>
      <c r="C534" s="27">
        <v>144.54975003560384</v>
      </c>
      <c r="D534" s="27">
        <v>58.64111035664876</v>
      </c>
      <c r="E534" s="27">
        <v>935.48193525526256</v>
      </c>
      <c r="F534" s="27">
        <v>1761.2386111111111</v>
      </c>
      <c r="G534" s="27">
        <v>1780</v>
      </c>
      <c r="H534" s="27">
        <v>642.54222222222222</v>
      </c>
      <c r="I534" s="27">
        <v>454.96472222222224</v>
      </c>
    </row>
    <row r="535" spans="1:9" x14ac:dyDescent="0.2">
      <c r="A535" s="23">
        <v>45679.791666666664</v>
      </c>
      <c r="B535" s="25">
        <v>45679.791666666664</v>
      </c>
      <c r="C535" s="27">
        <v>106.37761104159885</v>
      </c>
      <c r="D535" s="27">
        <v>42.634027229415047</v>
      </c>
      <c r="E535" s="27">
        <v>936.34653457641605</v>
      </c>
      <c r="F535" s="27">
        <v>1280.2525000000001</v>
      </c>
      <c r="G535" s="27">
        <v>1780</v>
      </c>
      <c r="H535" s="27">
        <v>640.76111111111106</v>
      </c>
      <c r="I535" s="27">
        <v>330.63111111111112</v>
      </c>
    </row>
    <row r="536" spans="1:9" x14ac:dyDescent="0.2">
      <c r="A536" s="23">
        <v>45679.833333333336</v>
      </c>
      <c r="B536" s="25">
        <v>45679.833333333336</v>
      </c>
      <c r="C536" s="27">
        <v>0</v>
      </c>
      <c r="D536" s="27">
        <v>0</v>
      </c>
      <c r="E536" s="27">
        <v>936.7166748046875</v>
      </c>
      <c r="F536" s="27">
        <v>0</v>
      </c>
      <c r="G536" s="27">
        <v>1780</v>
      </c>
      <c r="H536" s="27">
        <v>635.18888888888887</v>
      </c>
      <c r="I536" s="27">
        <v>4.4444444444444444E-3</v>
      </c>
    </row>
    <row r="537" spans="1:9" x14ac:dyDescent="0.2">
      <c r="A537" s="23">
        <v>45679.875</v>
      </c>
      <c r="B537" s="25">
        <v>45679.875</v>
      </c>
      <c r="C537" s="27">
        <v>0</v>
      </c>
      <c r="D537" s="27">
        <v>0</v>
      </c>
      <c r="E537" s="27">
        <v>936.7166748046875</v>
      </c>
      <c r="F537" s="27">
        <v>0</v>
      </c>
      <c r="G537" s="27">
        <v>1780</v>
      </c>
      <c r="H537" s="27">
        <v>635.87805555555553</v>
      </c>
      <c r="I537" s="27">
        <v>0</v>
      </c>
    </row>
    <row r="538" spans="1:9" x14ac:dyDescent="0.2">
      <c r="A538" s="23">
        <v>45679.916666666664</v>
      </c>
      <c r="B538" s="25">
        <v>45679.916666666664</v>
      </c>
      <c r="C538" s="27">
        <v>60.053027803632951</v>
      </c>
      <c r="D538" s="27">
        <v>25.570360784199504</v>
      </c>
      <c r="E538" s="27">
        <v>936.82812452528208</v>
      </c>
      <c r="F538" s="27">
        <v>767.54583333333335</v>
      </c>
      <c r="G538" s="27">
        <v>1780</v>
      </c>
      <c r="H538" s="27">
        <v>643.22222222222217</v>
      </c>
      <c r="I538" s="27">
        <v>198.49027777777778</v>
      </c>
    </row>
    <row r="539" spans="1:9" x14ac:dyDescent="0.2">
      <c r="A539" s="23">
        <v>45679.958333333336</v>
      </c>
      <c r="B539" s="25">
        <v>45679.958333333336</v>
      </c>
      <c r="C539" s="27">
        <v>0</v>
      </c>
      <c r="D539" s="27">
        <v>0</v>
      </c>
      <c r="E539" s="27">
        <v>937.183349609375</v>
      </c>
      <c r="F539" s="27">
        <v>0</v>
      </c>
      <c r="G539" s="27">
        <v>1780</v>
      </c>
      <c r="H539" s="27">
        <v>635.63194444444446</v>
      </c>
      <c r="I539" s="27">
        <v>4.4444444444444444E-3</v>
      </c>
    </row>
    <row r="540" spans="1:9" x14ac:dyDescent="0.2">
      <c r="A540" s="23">
        <v>45680</v>
      </c>
      <c r="B540" s="25">
        <v>45680</v>
      </c>
      <c r="C540" s="27">
        <v>0</v>
      </c>
      <c r="D540" s="27">
        <v>0</v>
      </c>
      <c r="E540" s="27">
        <v>937.183349609375</v>
      </c>
      <c r="F540" s="27">
        <v>0</v>
      </c>
      <c r="G540" s="27">
        <v>1780</v>
      </c>
      <c r="H540" s="27">
        <v>637.64583333333337</v>
      </c>
      <c r="I540" s="27">
        <v>4.4444444444444444E-3</v>
      </c>
    </row>
    <row r="541" spans="1:9" x14ac:dyDescent="0.2">
      <c r="A541" s="23">
        <v>45680.041666666664</v>
      </c>
      <c r="B541" s="25">
        <v>45680.041666666664</v>
      </c>
      <c r="C541" s="27">
        <v>0</v>
      </c>
      <c r="D541" s="27">
        <v>0</v>
      </c>
      <c r="E541" s="27">
        <v>937.183349609375</v>
      </c>
      <c r="F541" s="27">
        <v>0</v>
      </c>
      <c r="G541" s="27">
        <v>1780</v>
      </c>
      <c r="H541" s="27">
        <v>638.65805555555551</v>
      </c>
      <c r="I541" s="27">
        <v>4.4444444444444444E-3</v>
      </c>
    </row>
    <row r="542" spans="1:9" x14ac:dyDescent="0.2">
      <c r="A542" s="23">
        <v>45680.083333333336</v>
      </c>
      <c r="B542" s="25">
        <v>45680.083333333336</v>
      </c>
      <c r="C542" s="27">
        <v>0</v>
      </c>
      <c r="D542" s="27">
        <v>0</v>
      </c>
      <c r="E542" s="27">
        <v>937.183349609375</v>
      </c>
      <c r="F542" s="27">
        <v>0</v>
      </c>
      <c r="G542" s="27">
        <v>1780</v>
      </c>
      <c r="H542" s="27">
        <v>637.10944444444442</v>
      </c>
      <c r="I542" s="27">
        <v>0</v>
      </c>
    </row>
    <row r="543" spans="1:9" x14ac:dyDescent="0.2">
      <c r="A543" s="23">
        <v>45680.125</v>
      </c>
      <c r="B543" s="25">
        <v>45680.125</v>
      </c>
      <c r="C543" s="27">
        <v>0</v>
      </c>
      <c r="D543" s="27">
        <v>0</v>
      </c>
      <c r="E543" s="27">
        <v>937.183349609375</v>
      </c>
      <c r="F543" s="27">
        <v>0</v>
      </c>
      <c r="G543" s="27">
        <v>1780</v>
      </c>
      <c r="H543" s="27">
        <v>642.28222222222223</v>
      </c>
      <c r="I543" s="27">
        <v>0</v>
      </c>
    </row>
    <row r="544" spans="1:9" x14ac:dyDescent="0.2">
      <c r="A544" s="23">
        <v>45680.166666666664</v>
      </c>
      <c r="B544" s="25">
        <v>45680.166666666664</v>
      </c>
      <c r="C544" s="27">
        <v>0</v>
      </c>
      <c r="D544" s="27">
        <v>0</v>
      </c>
      <c r="E544" s="27">
        <v>937.183349609375</v>
      </c>
      <c r="F544" s="27">
        <v>0</v>
      </c>
      <c r="G544" s="27">
        <v>1780</v>
      </c>
      <c r="H544" s="27">
        <v>643.70555555555552</v>
      </c>
      <c r="I544" s="27">
        <v>4.4444444444444444E-3</v>
      </c>
    </row>
    <row r="545" spans="1:9" x14ac:dyDescent="0.2">
      <c r="A545" s="23">
        <v>45680.208333333336</v>
      </c>
      <c r="B545" s="25">
        <v>45680.208333333336</v>
      </c>
      <c r="C545" s="27">
        <v>125.22697223027548</v>
      </c>
      <c r="D545" s="27">
        <v>46.640999403032993</v>
      </c>
      <c r="E545" s="27">
        <v>937.51588007609053</v>
      </c>
      <c r="F545" s="27">
        <v>1400.4822222222222</v>
      </c>
      <c r="G545" s="27">
        <v>1780</v>
      </c>
      <c r="H545" s="27">
        <v>641.43888888888887</v>
      </c>
      <c r="I545" s="27">
        <v>361.61638888888888</v>
      </c>
    </row>
    <row r="546" spans="1:9" x14ac:dyDescent="0.2">
      <c r="A546" s="23">
        <v>45680.25</v>
      </c>
      <c r="B546" s="25">
        <v>45680.25</v>
      </c>
      <c r="C546" s="27">
        <v>158.94266660054524</v>
      </c>
      <c r="D546" s="27">
        <v>59.283527015050254</v>
      </c>
      <c r="E546" s="27">
        <v>938.49900453355576</v>
      </c>
      <c r="F546" s="27">
        <v>1780</v>
      </c>
      <c r="G546" s="27">
        <v>1780</v>
      </c>
      <c r="H546" s="27">
        <v>638.4997222222222</v>
      </c>
      <c r="I546" s="27">
        <v>459.49833333333333</v>
      </c>
    </row>
    <row r="547" spans="1:9" x14ac:dyDescent="0.2">
      <c r="A547" s="23">
        <v>45680.291666666664</v>
      </c>
      <c r="B547" s="25">
        <v>45680.291666666664</v>
      </c>
      <c r="C547" s="27">
        <v>85.866750115288625</v>
      </c>
      <c r="D547" s="27">
        <v>35.885832873293097</v>
      </c>
      <c r="E547" s="27">
        <v>939.36983225504559</v>
      </c>
      <c r="F547" s="27">
        <v>1077.0663888888889</v>
      </c>
      <c r="G547" s="27">
        <v>1780</v>
      </c>
      <c r="H547" s="27">
        <v>642.57000000000005</v>
      </c>
      <c r="I547" s="27">
        <v>278.27444444444444</v>
      </c>
    </row>
    <row r="548" spans="1:9" x14ac:dyDescent="0.2">
      <c r="A548" s="23">
        <v>45680.333333333336</v>
      </c>
      <c r="B548" s="25">
        <v>45680.333333333336</v>
      </c>
      <c r="C548" s="27">
        <v>3.5398888948228624</v>
      </c>
      <c r="D548" s="27">
        <v>1.3395277611414591</v>
      </c>
      <c r="E548" s="27">
        <v>939.63382929484044</v>
      </c>
      <c r="F548" s="27">
        <v>40.143888888888888</v>
      </c>
      <c r="G548" s="27">
        <v>1780</v>
      </c>
      <c r="H548" s="27">
        <v>637.12833333333333</v>
      </c>
      <c r="I548" s="27">
        <v>10.298055555555555</v>
      </c>
    </row>
    <row r="549" spans="1:9" x14ac:dyDescent="0.2">
      <c r="A549" s="23">
        <v>45680.375</v>
      </c>
      <c r="B549" s="25">
        <v>45680.375</v>
      </c>
      <c r="C549" s="27">
        <v>163.24752790662978</v>
      </c>
      <c r="D549" s="27">
        <v>59.283527015050254</v>
      </c>
      <c r="E549" s="27">
        <v>940.17678265041775</v>
      </c>
      <c r="F549" s="27">
        <v>1779.9616666666666</v>
      </c>
      <c r="G549" s="27">
        <v>1780</v>
      </c>
      <c r="H549" s="27">
        <v>637.33777777777777</v>
      </c>
      <c r="I549" s="27">
        <v>459.29027777777776</v>
      </c>
    </row>
    <row r="550" spans="1:9" x14ac:dyDescent="0.2">
      <c r="A550" s="23">
        <v>45680.416666666664</v>
      </c>
      <c r="B550" s="25">
        <v>45680.416666666664</v>
      </c>
      <c r="C550" s="27">
        <v>160.15424985673693</v>
      </c>
      <c r="D550" s="27">
        <v>59.299999237060547</v>
      </c>
      <c r="E550" s="27">
        <v>941.19372702704538</v>
      </c>
      <c r="F550" s="27">
        <v>1779.8741666666667</v>
      </c>
      <c r="G550" s="27">
        <v>1780</v>
      </c>
      <c r="H550" s="27">
        <v>639.05722222222221</v>
      </c>
      <c r="I550" s="27">
        <v>459.65194444444444</v>
      </c>
    </row>
    <row r="551" spans="1:9" x14ac:dyDescent="0.2">
      <c r="A551" s="23">
        <v>45680.458333333336</v>
      </c>
      <c r="B551" s="25">
        <v>45680.458333333336</v>
      </c>
      <c r="C551" s="27">
        <v>105.4350277057228</v>
      </c>
      <c r="D551" s="27">
        <v>38.898749502156342</v>
      </c>
      <c r="E551" s="27">
        <v>942.05073225233286</v>
      </c>
      <c r="F551" s="27">
        <v>1167.5697222222223</v>
      </c>
      <c r="G551" s="27">
        <v>1780</v>
      </c>
      <c r="H551" s="27">
        <v>641.11638888888888</v>
      </c>
      <c r="I551" s="27">
        <v>301.62777777777779</v>
      </c>
    </row>
    <row r="552" spans="1:9" x14ac:dyDescent="0.2">
      <c r="A552" s="23">
        <v>45680.5</v>
      </c>
      <c r="B552" s="25">
        <v>45680.5</v>
      </c>
      <c r="C552" s="27">
        <v>149.21400002797444</v>
      </c>
      <c r="D552" s="27">
        <v>55.84083261489868</v>
      </c>
      <c r="E552" s="27">
        <v>942.86965272691509</v>
      </c>
      <c r="F552" s="27">
        <v>1676.2172222222223</v>
      </c>
      <c r="G552" s="27">
        <v>1780</v>
      </c>
      <c r="H552" s="27">
        <v>637.31166666666661</v>
      </c>
      <c r="I552" s="27">
        <v>432.65055555555557</v>
      </c>
    </row>
    <row r="553" spans="1:9" x14ac:dyDescent="0.2">
      <c r="A553" s="23">
        <v>45680.541666666664</v>
      </c>
      <c r="B553" s="25">
        <v>45680.541666666664</v>
      </c>
      <c r="C553" s="27">
        <v>0</v>
      </c>
      <c r="D553" s="27">
        <v>0</v>
      </c>
      <c r="E553" s="27">
        <v>943.316650390625</v>
      </c>
      <c r="F553" s="27">
        <v>0</v>
      </c>
      <c r="G553" s="27">
        <v>1780</v>
      </c>
      <c r="H553" s="27">
        <v>636.23055555555561</v>
      </c>
      <c r="I553" s="27">
        <v>4.4444444444444444E-3</v>
      </c>
    </row>
    <row r="554" spans="1:9" x14ac:dyDescent="0.2">
      <c r="A554" s="23">
        <v>45680.583333333336</v>
      </c>
      <c r="B554" s="25">
        <v>45680.583333333336</v>
      </c>
      <c r="C554" s="27">
        <v>93.473638920254174</v>
      </c>
      <c r="D554" s="27">
        <v>37.243610633081857</v>
      </c>
      <c r="E554" s="27">
        <v>943.53739332411021</v>
      </c>
      <c r="F554" s="27">
        <v>1117.8286111111111</v>
      </c>
      <c r="G554" s="27">
        <v>1780</v>
      </c>
      <c r="H554" s="27">
        <v>644.06861111111107</v>
      </c>
      <c r="I554" s="27">
        <v>288.98305555555555</v>
      </c>
    </row>
    <row r="555" spans="1:9" x14ac:dyDescent="0.2">
      <c r="A555" s="23">
        <v>45680.625</v>
      </c>
      <c r="B555" s="25">
        <v>45680.625</v>
      </c>
      <c r="C555" s="27">
        <v>0</v>
      </c>
      <c r="D555" s="27">
        <v>0</v>
      </c>
      <c r="E555" s="27">
        <v>943.95001220703125</v>
      </c>
      <c r="F555" s="27">
        <v>0</v>
      </c>
      <c r="G555" s="27">
        <v>1780</v>
      </c>
      <c r="H555" s="27">
        <v>634.00777777777773</v>
      </c>
      <c r="I555" s="27">
        <v>8.8888888888888889E-3</v>
      </c>
    </row>
    <row r="556" spans="1:9" x14ac:dyDescent="0.2">
      <c r="A556" s="23">
        <v>45680.666666666664</v>
      </c>
      <c r="B556" s="25">
        <v>45680.666666666664</v>
      </c>
      <c r="C556" s="27">
        <v>0</v>
      </c>
      <c r="D556" s="27">
        <v>0</v>
      </c>
      <c r="E556" s="27">
        <v>943.95001220703125</v>
      </c>
      <c r="F556" s="27">
        <v>0</v>
      </c>
      <c r="G556" s="27">
        <v>1780</v>
      </c>
      <c r="H556" s="27">
        <v>635.14</v>
      </c>
      <c r="I556" s="27">
        <v>4.4444444444444444E-3</v>
      </c>
    </row>
    <row r="557" spans="1:9" x14ac:dyDescent="0.2">
      <c r="A557" s="23">
        <v>45680.708333333336</v>
      </c>
      <c r="B557" s="25">
        <v>45680.708333333336</v>
      </c>
      <c r="C557" s="27">
        <v>106.00558334350586</v>
      </c>
      <c r="D557" s="27">
        <v>45.683027192089291</v>
      </c>
      <c r="E557" s="27">
        <v>944.42809305826825</v>
      </c>
      <c r="F557" s="27">
        <v>1371.2630555555556</v>
      </c>
      <c r="G557" s="27">
        <v>1780</v>
      </c>
      <c r="H557" s="27">
        <v>648.44527777777773</v>
      </c>
      <c r="I557" s="27">
        <v>354.60638888888889</v>
      </c>
    </row>
    <row r="558" spans="1:9" x14ac:dyDescent="0.2">
      <c r="A558" s="23">
        <v>45680.75</v>
      </c>
      <c r="B558" s="25">
        <v>45680.75</v>
      </c>
      <c r="C558" s="27">
        <v>0</v>
      </c>
      <c r="D558" s="27">
        <v>0</v>
      </c>
      <c r="E558" s="27">
        <v>944.75</v>
      </c>
      <c r="F558" s="27">
        <v>0</v>
      </c>
      <c r="G558" s="27">
        <v>1780</v>
      </c>
      <c r="H558" s="27">
        <v>638.65694444444443</v>
      </c>
      <c r="I558" s="27">
        <v>8.8888888888888889E-3</v>
      </c>
    </row>
    <row r="559" spans="1:9" x14ac:dyDescent="0.2">
      <c r="A559" s="23">
        <v>45680.791666666664</v>
      </c>
      <c r="B559" s="25">
        <v>45680.791666666664</v>
      </c>
      <c r="C559" s="27">
        <v>20.995305574205187</v>
      </c>
      <c r="D559" s="27">
        <v>8.5904443334208587</v>
      </c>
      <c r="E559" s="27">
        <v>944.77842753092443</v>
      </c>
      <c r="F559" s="27">
        <v>257.68083333333334</v>
      </c>
      <c r="G559" s="27">
        <v>1780</v>
      </c>
      <c r="H559" s="27">
        <v>638.65722222222223</v>
      </c>
      <c r="I559" s="27">
        <v>66.553888888888892</v>
      </c>
    </row>
    <row r="560" spans="1:9" x14ac:dyDescent="0.2">
      <c r="A560" s="23">
        <v>45680.833333333336</v>
      </c>
      <c r="B560" s="25">
        <v>45680.833333333336</v>
      </c>
      <c r="C560" s="27">
        <v>0</v>
      </c>
      <c r="D560" s="27">
        <v>0</v>
      </c>
      <c r="E560" s="27">
        <v>944.9000244140625</v>
      </c>
      <c r="F560" s="27">
        <v>0</v>
      </c>
      <c r="G560" s="27">
        <v>1780</v>
      </c>
      <c r="H560" s="27">
        <v>636.72027777777782</v>
      </c>
      <c r="I560" s="27">
        <v>4.4444444444444444E-3</v>
      </c>
    </row>
    <row r="561" spans="1:9" x14ac:dyDescent="0.2">
      <c r="A561" s="23">
        <v>45680.875</v>
      </c>
      <c r="B561" s="25">
        <v>45680.875</v>
      </c>
      <c r="C561" s="27">
        <v>138.27588877360026</v>
      </c>
      <c r="D561" s="27">
        <v>56.730943716102175</v>
      </c>
      <c r="E561" s="27">
        <v>945.3804262288412</v>
      </c>
      <c r="F561" s="27">
        <v>1703.3233333333333</v>
      </c>
      <c r="G561" s="27">
        <v>1780</v>
      </c>
      <c r="H561" s="27">
        <v>642.11138888888888</v>
      </c>
      <c r="I561" s="27">
        <v>440.16027777777776</v>
      </c>
    </row>
    <row r="562" spans="1:9" x14ac:dyDescent="0.2">
      <c r="A562" s="23">
        <v>45680.916666666664</v>
      </c>
      <c r="B562" s="25">
        <v>45680.916666666664</v>
      </c>
      <c r="C562" s="27">
        <v>54.114222221374511</v>
      </c>
      <c r="D562" s="27">
        <v>22.158583048184713</v>
      </c>
      <c r="E562" s="27">
        <v>946.09450963338213</v>
      </c>
      <c r="F562" s="27">
        <v>665.74805555555554</v>
      </c>
      <c r="G562" s="27">
        <v>1780</v>
      </c>
      <c r="H562" s="27">
        <v>639.5580555555556</v>
      </c>
      <c r="I562" s="27">
        <v>171.88027777777779</v>
      </c>
    </row>
    <row r="563" spans="1:9" x14ac:dyDescent="0.2">
      <c r="A563" s="23">
        <v>45680.958333333336</v>
      </c>
      <c r="B563" s="25">
        <v>45680.958333333336</v>
      </c>
      <c r="C563" s="27">
        <v>120.78174991607666</v>
      </c>
      <c r="D563" s="27">
        <v>49.993193801244097</v>
      </c>
      <c r="E563" s="27">
        <v>946.77316975911458</v>
      </c>
      <c r="F563" s="27">
        <v>1500.64</v>
      </c>
      <c r="G563" s="27">
        <v>1780</v>
      </c>
      <c r="H563" s="27">
        <v>643.52055555555557</v>
      </c>
      <c r="I563" s="27">
        <v>387.90416666666664</v>
      </c>
    </row>
    <row r="564" spans="1:9" x14ac:dyDescent="0.2">
      <c r="A564" s="23">
        <v>45681</v>
      </c>
      <c r="B564" s="25">
        <v>45681</v>
      </c>
      <c r="C564" s="27">
        <v>64.09991669548883</v>
      </c>
      <c r="D564" s="27">
        <v>26.357832996249201</v>
      </c>
      <c r="E564" s="27">
        <v>947.23384989420572</v>
      </c>
      <c r="F564" s="27">
        <v>791.54027777777776</v>
      </c>
      <c r="G564" s="27">
        <v>1780</v>
      </c>
      <c r="H564" s="27">
        <v>641.61805555555554</v>
      </c>
      <c r="I564" s="27">
        <v>204.49777777777777</v>
      </c>
    </row>
    <row r="565" spans="1:9" x14ac:dyDescent="0.2">
      <c r="A565" s="23">
        <v>45681.041666666664</v>
      </c>
      <c r="B565" s="25">
        <v>45681.041666666664</v>
      </c>
      <c r="C565" s="27">
        <v>142.58813885582819</v>
      </c>
      <c r="D565" s="27">
        <v>59.267054793039961</v>
      </c>
      <c r="E565" s="27">
        <v>948.09177734374998</v>
      </c>
      <c r="F565" s="27">
        <v>1779.8136111111112</v>
      </c>
      <c r="G565" s="27">
        <v>1780</v>
      </c>
      <c r="H565" s="27">
        <v>644.49611111111108</v>
      </c>
      <c r="I565" s="27">
        <v>460.02333333333331</v>
      </c>
    </row>
    <row r="566" spans="1:9" x14ac:dyDescent="0.2">
      <c r="A566" s="23">
        <v>45681.083333333336</v>
      </c>
      <c r="B566" s="25">
        <v>45681.083333333336</v>
      </c>
      <c r="C566" s="27">
        <v>111.45833328670926</v>
      </c>
      <c r="D566" s="27">
        <v>46.506693848305275</v>
      </c>
      <c r="E566" s="27">
        <v>949.04589050292964</v>
      </c>
      <c r="F566" s="27">
        <v>1396.2650000000001</v>
      </c>
      <c r="G566" s="27">
        <v>1780</v>
      </c>
      <c r="H566" s="27">
        <v>645.10333333333335</v>
      </c>
      <c r="I566" s="27">
        <v>361.01333333333332</v>
      </c>
    </row>
    <row r="567" spans="1:9" x14ac:dyDescent="0.2">
      <c r="A567" s="23">
        <v>45681.125</v>
      </c>
      <c r="B567" s="25">
        <v>45681.125</v>
      </c>
      <c r="C567" s="27">
        <v>141.1275000890096</v>
      </c>
      <c r="D567" s="27">
        <v>59.283527015050254</v>
      </c>
      <c r="E567" s="27">
        <v>949.90538920084634</v>
      </c>
      <c r="F567" s="27">
        <v>1779.7980555555555</v>
      </c>
      <c r="G567" s="27">
        <v>1780</v>
      </c>
      <c r="H567" s="27">
        <v>646.04250000000002</v>
      </c>
      <c r="I567" s="27">
        <v>460.16777777777776</v>
      </c>
    </row>
    <row r="568" spans="1:9" x14ac:dyDescent="0.2">
      <c r="A568" s="23">
        <v>45681.166666666664</v>
      </c>
      <c r="B568" s="25">
        <v>45681.166666666664</v>
      </c>
      <c r="C568" s="27">
        <v>76.678861164516874</v>
      </c>
      <c r="D568" s="27">
        <v>33.026805130640668</v>
      </c>
      <c r="E568" s="27">
        <v>950.81450439453124</v>
      </c>
      <c r="F568" s="27">
        <v>991.29555555555555</v>
      </c>
      <c r="G568" s="27">
        <v>1780</v>
      </c>
      <c r="H568" s="27">
        <v>642.69000000000005</v>
      </c>
      <c r="I568" s="27">
        <v>256.35055555555556</v>
      </c>
    </row>
    <row r="569" spans="1:9" x14ac:dyDescent="0.2">
      <c r="A569" s="23">
        <v>45681.208333333336</v>
      </c>
      <c r="B569" s="25">
        <v>45681.208333333336</v>
      </c>
      <c r="C569" s="27">
        <v>0</v>
      </c>
      <c r="D569" s="27">
        <v>0</v>
      </c>
      <c r="E569" s="27">
        <v>950.9666748046875</v>
      </c>
      <c r="F569" s="27">
        <v>0</v>
      </c>
      <c r="G569" s="27">
        <v>1780</v>
      </c>
      <c r="H569" s="27">
        <v>636.7833333333333</v>
      </c>
      <c r="I569" s="27">
        <v>0</v>
      </c>
    </row>
    <row r="570" spans="1:9" x14ac:dyDescent="0.2">
      <c r="A570" s="23">
        <v>45681.25</v>
      </c>
      <c r="B570" s="25">
        <v>45681.25</v>
      </c>
      <c r="C570" s="27">
        <v>9.2112221866183805</v>
      </c>
      <c r="D570" s="27">
        <v>3.7894166180822584</v>
      </c>
      <c r="E570" s="27">
        <v>950.96972961425786</v>
      </c>
      <c r="F570" s="27">
        <v>113.68277777777777</v>
      </c>
      <c r="G570" s="27">
        <v>1780</v>
      </c>
      <c r="H570" s="27">
        <v>636.54</v>
      </c>
      <c r="I570" s="27">
        <v>29.315555555555555</v>
      </c>
    </row>
    <row r="571" spans="1:9" x14ac:dyDescent="0.2">
      <c r="A571" s="23">
        <v>45681.291666666664</v>
      </c>
      <c r="B571" s="25">
        <v>45681.291666666664</v>
      </c>
      <c r="C571" s="27">
        <v>15.448583348592122</v>
      </c>
      <c r="D571" s="27">
        <v>6.6690832483768467</v>
      </c>
      <c r="E571" s="27">
        <v>951.15968404134117</v>
      </c>
      <c r="F571" s="27">
        <v>200.24472222222221</v>
      </c>
      <c r="G571" s="27">
        <v>1780</v>
      </c>
      <c r="H571" s="27">
        <v>636.1344444444444</v>
      </c>
      <c r="I571" s="27">
        <v>51.887500000000003</v>
      </c>
    </row>
    <row r="572" spans="1:9" x14ac:dyDescent="0.2">
      <c r="A572" s="23">
        <v>45681.333333333336</v>
      </c>
      <c r="B572" s="25">
        <v>45681.333333333336</v>
      </c>
      <c r="C572" s="27">
        <v>0</v>
      </c>
      <c r="D572" s="27">
        <v>0</v>
      </c>
      <c r="E572" s="27">
        <v>951.16668701171875</v>
      </c>
      <c r="F572" s="27">
        <v>0</v>
      </c>
      <c r="G572" s="27">
        <v>1780</v>
      </c>
      <c r="H572" s="27">
        <v>635.36777777777775</v>
      </c>
      <c r="I572" s="27">
        <v>0</v>
      </c>
    </row>
    <row r="573" spans="1:9" x14ac:dyDescent="0.2">
      <c r="A573" s="23">
        <v>45681.375</v>
      </c>
      <c r="B573" s="25">
        <v>45681.375</v>
      </c>
      <c r="C573" s="27">
        <v>0</v>
      </c>
      <c r="D573" s="27">
        <v>0</v>
      </c>
      <c r="E573" s="27">
        <v>951.16668701171875</v>
      </c>
      <c r="F573" s="27">
        <v>0</v>
      </c>
      <c r="G573" s="27">
        <v>1780</v>
      </c>
      <c r="H573" s="27">
        <v>633.60388888888883</v>
      </c>
      <c r="I573" s="27">
        <v>0</v>
      </c>
    </row>
    <row r="574" spans="1:9" x14ac:dyDescent="0.2">
      <c r="A574" s="23">
        <v>45681.416666666664</v>
      </c>
      <c r="B574" s="25">
        <v>45681.416666666664</v>
      </c>
      <c r="C574" s="27">
        <v>0</v>
      </c>
      <c r="D574" s="27">
        <v>0</v>
      </c>
      <c r="E574" s="27">
        <v>951.16668701171875</v>
      </c>
      <c r="F574" s="27">
        <v>0</v>
      </c>
      <c r="G574" s="27">
        <v>1780</v>
      </c>
      <c r="H574" s="27">
        <v>635.70944444444444</v>
      </c>
      <c r="I574" s="27">
        <v>4.4444444444444444E-3</v>
      </c>
    </row>
    <row r="575" spans="1:9" x14ac:dyDescent="0.2">
      <c r="A575" s="23">
        <v>45681.458333333336</v>
      </c>
      <c r="B575" s="25">
        <v>45681.458333333336</v>
      </c>
      <c r="C575" s="27">
        <v>0</v>
      </c>
      <c r="D575" s="27">
        <v>0</v>
      </c>
      <c r="E575" s="27">
        <v>951.16668701171875</v>
      </c>
      <c r="F575" s="27">
        <v>0</v>
      </c>
      <c r="G575" s="27">
        <v>1780</v>
      </c>
      <c r="H575" s="27">
        <v>640.2116666666667</v>
      </c>
      <c r="I575" s="27">
        <v>4.4444444444444444E-3</v>
      </c>
    </row>
    <row r="576" spans="1:9" x14ac:dyDescent="0.2">
      <c r="A576" s="23">
        <v>45681.5</v>
      </c>
      <c r="B576" s="25">
        <v>45681.5</v>
      </c>
      <c r="C576" s="27">
        <v>0</v>
      </c>
      <c r="D576" s="27">
        <v>0</v>
      </c>
      <c r="E576" s="27">
        <v>951.16668701171875</v>
      </c>
      <c r="F576" s="27">
        <v>0</v>
      </c>
      <c r="G576" s="27">
        <v>1780</v>
      </c>
      <c r="H576" s="27">
        <v>639.41111111111115</v>
      </c>
      <c r="I576" s="27">
        <v>0</v>
      </c>
    </row>
    <row r="577" spans="1:9" x14ac:dyDescent="0.2">
      <c r="A577" s="23">
        <v>45681.541666666664</v>
      </c>
      <c r="B577" s="25">
        <v>45681.541666666664</v>
      </c>
      <c r="C577" s="27">
        <v>0</v>
      </c>
      <c r="D577" s="27">
        <v>0</v>
      </c>
      <c r="E577" s="27">
        <v>951.16668701171875</v>
      </c>
      <c r="F577" s="27">
        <v>0</v>
      </c>
      <c r="G577" s="27">
        <v>1780</v>
      </c>
      <c r="H577" s="27">
        <v>638.44111111111113</v>
      </c>
      <c r="I577" s="27">
        <v>4.4444444444444444E-3</v>
      </c>
    </row>
    <row r="578" spans="1:9" x14ac:dyDescent="0.2">
      <c r="A578" s="23">
        <v>45681.583333333336</v>
      </c>
      <c r="B578" s="25">
        <v>45681.583333333336</v>
      </c>
      <c r="C578" s="27">
        <v>107.39169455634223</v>
      </c>
      <c r="D578" s="27">
        <v>41.859693907300631</v>
      </c>
      <c r="E578" s="27">
        <v>951.42205123901363</v>
      </c>
      <c r="F578" s="27">
        <v>1256.4516666666666</v>
      </c>
      <c r="G578" s="27">
        <v>1780</v>
      </c>
      <c r="H578" s="27">
        <v>642.20916666666665</v>
      </c>
      <c r="I578" s="27">
        <v>324.79166666666669</v>
      </c>
    </row>
    <row r="579" spans="1:9" x14ac:dyDescent="0.2">
      <c r="A579" s="23">
        <v>45681.625</v>
      </c>
      <c r="B579" s="25">
        <v>45681.625</v>
      </c>
      <c r="C579" s="27">
        <v>73.488583293490933</v>
      </c>
      <c r="D579" s="27">
        <v>29.025305183198718</v>
      </c>
      <c r="E579" s="27">
        <v>952.14240347968212</v>
      </c>
      <c r="F579" s="27">
        <v>871.30027777777775</v>
      </c>
      <c r="G579" s="27">
        <v>1780</v>
      </c>
      <c r="H579" s="27">
        <v>639.86500000000001</v>
      </c>
      <c r="I579" s="27">
        <v>225.04722222222222</v>
      </c>
    </row>
    <row r="580" spans="1:9" x14ac:dyDescent="0.2">
      <c r="A580" s="23">
        <v>45681.666666666664</v>
      </c>
      <c r="B580" s="25">
        <v>45681.666666666664</v>
      </c>
      <c r="C580" s="27">
        <v>68.496861122979055</v>
      </c>
      <c r="D580" s="27">
        <v>26.947582989467517</v>
      </c>
      <c r="E580" s="27">
        <v>952.50794325086804</v>
      </c>
      <c r="F580" s="27">
        <v>809.33138888888891</v>
      </c>
      <c r="G580" s="27">
        <v>1780</v>
      </c>
      <c r="H580" s="27">
        <v>640.85222222222217</v>
      </c>
      <c r="I580" s="27">
        <v>209.04444444444445</v>
      </c>
    </row>
    <row r="581" spans="1:9" x14ac:dyDescent="0.2">
      <c r="A581" s="23">
        <v>45681.708333333336</v>
      </c>
      <c r="B581" s="25">
        <v>45681.708333333336</v>
      </c>
      <c r="C581" s="27">
        <v>121.9456111017863</v>
      </c>
      <c r="D581" s="27">
        <v>59.283527015050254</v>
      </c>
      <c r="E581" s="27">
        <v>953.37955074734157</v>
      </c>
      <c r="F581" s="27">
        <v>1779.7130555555555</v>
      </c>
      <c r="G581" s="27">
        <v>1780</v>
      </c>
      <c r="H581" s="27">
        <v>644.06583333333333</v>
      </c>
      <c r="I581" s="27">
        <v>460.1247222222222</v>
      </c>
    </row>
    <row r="582" spans="1:9" x14ac:dyDescent="0.2">
      <c r="A582" s="23">
        <v>45681.75</v>
      </c>
      <c r="B582" s="25">
        <v>45681.75</v>
      </c>
      <c r="C582" s="27">
        <v>93.297416676415338</v>
      </c>
      <c r="D582" s="27">
        <v>47.625721611645488</v>
      </c>
      <c r="E582" s="27">
        <v>954.32505152384442</v>
      </c>
      <c r="F582" s="27">
        <v>1430.0311111111112</v>
      </c>
      <c r="G582" s="27">
        <v>1780</v>
      </c>
      <c r="H582" s="27">
        <v>642.67694444444442</v>
      </c>
      <c r="I582" s="27">
        <v>369.5022222222222</v>
      </c>
    </row>
    <row r="583" spans="1:9" x14ac:dyDescent="0.2">
      <c r="A583" s="23">
        <v>45681.791666666664</v>
      </c>
      <c r="B583" s="25">
        <v>45681.791666666664</v>
      </c>
      <c r="C583" s="27">
        <v>5.0214166704813641</v>
      </c>
      <c r="D583" s="27">
        <v>2.9320555178324383</v>
      </c>
      <c r="E583" s="27">
        <v>954.76531570434565</v>
      </c>
      <c r="F583" s="27">
        <v>88.012777777777771</v>
      </c>
      <c r="G583" s="27">
        <v>1780</v>
      </c>
      <c r="H583" s="27">
        <v>637.69861111111106</v>
      </c>
      <c r="I583" s="27">
        <v>22.758611111111112</v>
      </c>
    </row>
    <row r="584" spans="1:9" x14ac:dyDescent="0.2">
      <c r="A584" s="23">
        <v>45681.833333333336</v>
      </c>
      <c r="B584" s="25">
        <v>45681.833333333336</v>
      </c>
      <c r="C584" s="27">
        <v>0</v>
      </c>
      <c r="D584" s="27">
        <v>0</v>
      </c>
      <c r="E584" s="27">
        <v>954.76666259765625</v>
      </c>
      <c r="F584" s="27">
        <v>0</v>
      </c>
      <c r="G584" s="27">
        <v>1780</v>
      </c>
      <c r="H584" s="27">
        <v>635.36111111111109</v>
      </c>
      <c r="I584" s="27">
        <v>4.4444444444444444E-3</v>
      </c>
    </row>
    <row r="585" spans="1:9" x14ac:dyDescent="0.2">
      <c r="A585" s="23">
        <v>45681.875</v>
      </c>
      <c r="B585" s="25">
        <v>45681.875</v>
      </c>
      <c r="C585" s="27">
        <v>0</v>
      </c>
      <c r="D585" s="27">
        <v>0</v>
      </c>
      <c r="E585" s="27">
        <v>954.76666259765625</v>
      </c>
      <c r="F585" s="27">
        <v>0</v>
      </c>
      <c r="G585" s="27">
        <v>1780</v>
      </c>
      <c r="H585" s="27">
        <v>636.6205555555556</v>
      </c>
      <c r="I585" s="27">
        <v>8.8888888888888889E-3</v>
      </c>
    </row>
    <row r="586" spans="1:9" x14ac:dyDescent="0.2">
      <c r="A586" s="23">
        <v>45681.916666666664</v>
      </c>
      <c r="B586" s="25">
        <v>45681.916666666664</v>
      </c>
      <c r="C586" s="27">
        <v>0</v>
      </c>
      <c r="D586" s="27">
        <v>0</v>
      </c>
      <c r="E586" s="27">
        <v>954.76666259765625</v>
      </c>
      <c r="F586" s="27">
        <v>0</v>
      </c>
      <c r="G586" s="27">
        <v>1780</v>
      </c>
      <c r="H586" s="27">
        <v>637.72444444444443</v>
      </c>
      <c r="I586" s="27">
        <v>0</v>
      </c>
    </row>
    <row r="587" spans="1:9" x14ac:dyDescent="0.2">
      <c r="A587" s="23">
        <v>45681.958333333336</v>
      </c>
      <c r="B587" s="25">
        <v>45681.958333333336</v>
      </c>
      <c r="C587" s="27">
        <v>0</v>
      </c>
      <c r="D587" s="27">
        <v>0</v>
      </c>
      <c r="E587" s="27">
        <v>954.76666259765625</v>
      </c>
      <c r="F587" s="27">
        <v>0</v>
      </c>
      <c r="G587" s="27">
        <v>1780</v>
      </c>
      <c r="H587" s="27">
        <v>638.6202777777778</v>
      </c>
      <c r="I587" s="27">
        <v>0</v>
      </c>
    </row>
    <row r="588" spans="1:9" x14ac:dyDescent="0.2">
      <c r="A588" s="23">
        <v>45682</v>
      </c>
      <c r="B588" s="25">
        <v>45682</v>
      </c>
      <c r="C588" s="27">
        <v>63.688749966091578</v>
      </c>
      <c r="D588" s="27">
        <v>31.781082926856147</v>
      </c>
      <c r="E588" s="27">
        <v>954.92241863674587</v>
      </c>
      <c r="F588" s="27">
        <v>953.76583333333338</v>
      </c>
      <c r="G588" s="27">
        <v>1780</v>
      </c>
      <c r="H588" s="27">
        <v>641.98</v>
      </c>
      <c r="I588" s="27">
        <v>246.45750000000001</v>
      </c>
    </row>
    <row r="589" spans="1:9" x14ac:dyDescent="0.2">
      <c r="A589" s="23">
        <v>45682.041666666664</v>
      </c>
      <c r="B589" s="25">
        <v>45682.041666666664</v>
      </c>
      <c r="C589" s="27">
        <v>99.7850556119283</v>
      </c>
      <c r="D589" s="27">
        <v>50.207332687377928</v>
      </c>
      <c r="E589" s="27">
        <v>955.82637261284719</v>
      </c>
      <c r="F589" s="27">
        <v>1507.0880555555555</v>
      </c>
      <c r="G589" s="27">
        <v>1780</v>
      </c>
      <c r="H589" s="27">
        <v>642.12666666666667</v>
      </c>
      <c r="I589" s="27">
        <v>389.6177777777778</v>
      </c>
    </row>
    <row r="590" spans="1:9" x14ac:dyDescent="0.2">
      <c r="A590" s="23">
        <v>45682.083333333336</v>
      </c>
      <c r="B590" s="25">
        <v>45682.083333333336</v>
      </c>
      <c r="C590" s="27">
        <v>82.672194430033372</v>
      </c>
      <c r="D590" s="27">
        <v>42.794027228620315</v>
      </c>
      <c r="E590" s="27">
        <v>956.46739189995662</v>
      </c>
      <c r="F590" s="27">
        <v>1284.8216666666667</v>
      </c>
      <c r="G590" s="27">
        <v>1780</v>
      </c>
      <c r="H590" s="27">
        <v>641.01666666666665</v>
      </c>
      <c r="I590" s="27">
        <v>331.9325</v>
      </c>
    </row>
    <row r="591" spans="1:9" x14ac:dyDescent="0.2">
      <c r="A591" s="23">
        <v>45682.125</v>
      </c>
      <c r="B591" s="25">
        <v>45682.125</v>
      </c>
      <c r="C591" s="27">
        <v>61.771833324432372</v>
      </c>
      <c r="D591" s="27">
        <v>34.245749559402469</v>
      </c>
      <c r="E591" s="27">
        <v>957.36127941555446</v>
      </c>
      <c r="F591" s="27">
        <v>1027.6008333333334</v>
      </c>
      <c r="G591" s="27">
        <v>1780</v>
      </c>
      <c r="H591" s="27">
        <v>644.52083333333337</v>
      </c>
      <c r="I591" s="27">
        <v>265.79750000000001</v>
      </c>
    </row>
    <row r="592" spans="1:9" x14ac:dyDescent="0.2">
      <c r="A592" s="23">
        <v>45682.166666666664</v>
      </c>
      <c r="B592" s="25">
        <v>45682.166666666664</v>
      </c>
      <c r="C592" s="27">
        <v>1.5577222145928278</v>
      </c>
      <c r="D592" s="27">
        <v>0.75158332501848535</v>
      </c>
      <c r="E592" s="27">
        <v>957.53342702229816</v>
      </c>
      <c r="F592" s="27">
        <v>22.513888888888889</v>
      </c>
      <c r="G592" s="27">
        <v>1780</v>
      </c>
      <c r="H592" s="27">
        <v>640.46388888888885</v>
      </c>
      <c r="I592" s="27">
        <v>5.735555555555556</v>
      </c>
    </row>
    <row r="593" spans="1:9" x14ac:dyDescent="0.2">
      <c r="A593" s="23">
        <v>45682.208333333336</v>
      </c>
      <c r="B593" s="25">
        <v>45682.208333333336</v>
      </c>
      <c r="C593" s="27">
        <v>17.79486111746894</v>
      </c>
      <c r="D593" s="27">
        <v>9.7177221149868434</v>
      </c>
      <c r="E593" s="27">
        <v>957.70242357042105</v>
      </c>
      <c r="F593" s="27">
        <v>291.72916666666669</v>
      </c>
      <c r="G593" s="27">
        <v>1780</v>
      </c>
      <c r="H593" s="27">
        <v>638.91194444444443</v>
      </c>
      <c r="I593" s="27">
        <v>75.455833333333331</v>
      </c>
    </row>
    <row r="594" spans="1:9" x14ac:dyDescent="0.2">
      <c r="A594" s="23">
        <v>45682.25</v>
      </c>
      <c r="B594" s="25">
        <v>45682.25</v>
      </c>
      <c r="C594" s="27">
        <v>64.397638902879422</v>
      </c>
      <c r="D594" s="27">
        <v>28.052971863829427</v>
      </c>
      <c r="E594" s="27">
        <v>957.8421739535861</v>
      </c>
      <c r="F594" s="27">
        <v>842.46888888888884</v>
      </c>
      <c r="G594" s="27">
        <v>1780</v>
      </c>
      <c r="H594" s="27">
        <v>635.22</v>
      </c>
      <c r="I594" s="27">
        <v>216.91749999999999</v>
      </c>
    </row>
    <row r="595" spans="1:9" x14ac:dyDescent="0.2">
      <c r="A595" s="23">
        <v>45682.291666666664</v>
      </c>
      <c r="B595" s="25">
        <v>45682.291666666664</v>
      </c>
      <c r="C595" s="27">
        <v>123.65102785322401</v>
      </c>
      <c r="D595" s="27">
        <v>51.936915998458865</v>
      </c>
      <c r="E595" s="27">
        <v>958.70983825683595</v>
      </c>
      <c r="F595" s="27">
        <v>1560.0938888888888</v>
      </c>
      <c r="G595" s="27">
        <v>1780</v>
      </c>
      <c r="H595" s="27">
        <v>639.99583333333328</v>
      </c>
      <c r="I595" s="27">
        <v>402.69944444444445</v>
      </c>
    </row>
    <row r="596" spans="1:9" x14ac:dyDescent="0.2">
      <c r="A596" s="23">
        <v>45682.333333333336</v>
      </c>
      <c r="B596" s="25">
        <v>45682.333333333336</v>
      </c>
      <c r="C596" s="27">
        <v>0</v>
      </c>
      <c r="D596" s="27">
        <v>0</v>
      </c>
      <c r="E596" s="27">
        <v>959.0999755859375</v>
      </c>
      <c r="F596" s="27">
        <v>0</v>
      </c>
      <c r="G596" s="27">
        <v>1780</v>
      </c>
      <c r="H596" s="27">
        <v>635.9083333333333</v>
      </c>
      <c r="I596" s="27">
        <v>4.4444444444444444E-3</v>
      </c>
    </row>
    <row r="597" spans="1:9" x14ac:dyDescent="0.2">
      <c r="A597" s="23">
        <v>45682.375</v>
      </c>
      <c r="B597" s="25">
        <v>45682.375</v>
      </c>
      <c r="C597" s="27">
        <v>83.541361149681933</v>
      </c>
      <c r="D597" s="27">
        <v>32.577194029556381</v>
      </c>
      <c r="E597" s="27">
        <v>959.26751129150387</v>
      </c>
      <c r="F597" s="27">
        <v>977.82555555555552</v>
      </c>
      <c r="G597" s="27">
        <v>1780</v>
      </c>
      <c r="H597" s="27">
        <v>639.14166666666665</v>
      </c>
      <c r="I597" s="27">
        <v>252.45055555555555</v>
      </c>
    </row>
    <row r="598" spans="1:9" x14ac:dyDescent="0.2">
      <c r="A598" s="23">
        <v>45682.416666666664</v>
      </c>
      <c r="B598" s="25">
        <v>45682.416666666664</v>
      </c>
      <c r="C598" s="27">
        <v>115.19316672854953</v>
      </c>
      <c r="D598" s="27">
        <v>43.684332771301271</v>
      </c>
      <c r="E598" s="27">
        <v>960.14097757975264</v>
      </c>
      <c r="F598" s="27">
        <v>1311.7752777777778</v>
      </c>
      <c r="G598" s="27">
        <v>1780</v>
      </c>
      <c r="H598" s="27">
        <v>640.85472222222222</v>
      </c>
      <c r="I598" s="27">
        <v>338.81138888888887</v>
      </c>
    </row>
    <row r="599" spans="1:9" x14ac:dyDescent="0.2">
      <c r="A599" s="23">
        <v>45682.458333333336</v>
      </c>
      <c r="B599" s="25">
        <v>45682.458333333336</v>
      </c>
      <c r="C599" s="27">
        <v>45.841444430881076</v>
      </c>
      <c r="D599" s="27">
        <v>16.172388683689967</v>
      </c>
      <c r="E599" s="27">
        <v>960.45952358669706</v>
      </c>
      <c r="F599" s="27">
        <v>485.33972222222224</v>
      </c>
      <c r="G599" s="27">
        <v>1780</v>
      </c>
      <c r="H599" s="27">
        <v>635.19861111111106</v>
      </c>
      <c r="I599" s="27">
        <v>124.96138888888889</v>
      </c>
    </row>
    <row r="600" spans="1:9" x14ac:dyDescent="0.2">
      <c r="A600" s="23">
        <v>45682.5</v>
      </c>
      <c r="B600" s="25">
        <v>45682.5</v>
      </c>
      <c r="C600" s="27">
        <v>140.10405559115941</v>
      </c>
      <c r="D600" s="27">
        <v>50.273221575419107</v>
      </c>
      <c r="E600" s="27">
        <v>961.19890472412112</v>
      </c>
      <c r="F600" s="27">
        <v>1510.0516666666667</v>
      </c>
      <c r="G600" s="27">
        <v>1780</v>
      </c>
      <c r="H600" s="27">
        <v>637.07861111111106</v>
      </c>
      <c r="I600" s="27">
        <v>389.50611111111112</v>
      </c>
    </row>
    <row r="601" spans="1:9" x14ac:dyDescent="0.2">
      <c r="A601" s="23">
        <v>45682.541666666664</v>
      </c>
      <c r="B601" s="25">
        <v>45682.541666666664</v>
      </c>
      <c r="C601" s="27">
        <v>0</v>
      </c>
      <c r="D601" s="27">
        <v>0</v>
      </c>
      <c r="E601" s="27">
        <v>961.566650390625</v>
      </c>
      <c r="F601" s="27">
        <v>0</v>
      </c>
      <c r="G601" s="27">
        <v>1780</v>
      </c>
      <c r="H601" s="27">
        <v>653.93222222222221</v>
      </c>
      <c r="I601" s="27">
        <v>0</v>
      </c>
    </row>
    <row r="602" spans="1:9" x14ac:dyDescent="0.2">
      <c r="A602" s="23">
        <v>45682.583333333336</v>
      </c>
      <c r="B602" s="25">
        <v>45682.583333333336</v>
      </c>
      <c r="C602" s="27">
        <v>102.63475005043877</v>
      </c>
      <c r="D602" s="27">
        <v>50.557610462705291</v>
      </c>
      <c r="E602" s="27">
        <v>961.94781277126731</v>
      </c>
      <c r="F602" s="27">
        <v>1517.5380555555555</v>
      </c>
      <c r="G602" s="27">
        <v>1780</v>
      </c>
      <c r="H602" s="27">
        <v>642.40944444444449</v>
      </c>
      <c r="I602" s="27">
        <v>392.02611111111111</v>
      </c>
    </row>
    <row r="603" spans="1:9" x14ac:dyDescent="0.2">
      <c r="A603" s="23">
        <v>45682.625</v>
      </c>
      <c r="B603" s="25">
        <v>45682.625</v>
      </c>
      <c r="C603" s="27">
        <v>98.285805551740864</v>
      </c>
      <c r="D603" s="27">
        <v>49.96024935722351</v>
      </c>
      <c r="E603" s="27">
        <v>962.94213684082035</v>
      </c>
      <c r="F603" s="27">
        <v>1500.1597222222222</v>
      </c>
      <c r="G603" s="27">
        <v>1780</v>
      </c>
      <c r="H603" s="27">
        <v>641.21222222222218</v>
      </c>
      <c r="I603" s="27">
        <v>387.49388888888888</v>
      </c>
    </row>
    <row r="604" spans="1:9" x14ac:dyDescent="0.2">
      <c r="A604" s="23">
        <v>45682.666666666664</v>
      </c>
      <c r="B604" s="25">
        <v>45682.666666666664</v>
      </c>
      <c r="C604" s="27">
        <v>49.162194420496625</v>
      </c>
      <c r="D604" s="27">
        <v>24.161110801001389</v>
      </c>
      <c r="E604" s="27">
        <v>963.38586800469295</v>
      </c>
      <c r="F604" s="27">
        <v>725.18527777777774</v>
      </c>
      <c r="G604" s="27">
        <v>1780</v>
      </c>
      <c r="H604" s="27">
        <v>637.60305555555556</v>
      </c>
      <c r="I604" s="27">
        <v>187.18722222222223</v>
      </c>
    </row>
    <row r="605" spans="1:9" x14ac:dyDescent="0.2">
      <c r="A605" s="23">
        <v>45682.708333333336</v>
      </c>
      <c r="B605" s="25">
        <v>45682.708333333336</v>
      </c>
      <c r="C605" s="27">
        <v>117.11441667980618</v>
      </c>
      <c r="D605" s="27">
        <v>59.299999237060547</v>
      </c>
      <c r="E605" s="27">
        <v>964.22676856146916</v>
      </c>
      <c r="F605" s="27">
        <v>1780</v>
      </c>
      <c r="G605" s="27">
        <v>1780</v>
      </c>
      <c r="H605" s="27">
        <v>641.14861111111111</v>
      </c>
      <c r="I605" s="27">
        <v>459.89166666666665</v>
      </c>
    </row>
    <row r="606" spans="1:9" x14ac:dyDescent="0.2">
      <c r="A606" s="23">
        <v>45682.75</v>
      </c>
      <c r="B606" s="25">
        <v>45682.75</v>
      </c>
      <c r="C606" s="27">
        <v>25.302777767181396</v>
      </c>
      <c r="D606" s="27">
        <v>13.886083154678344</v>
      </c>
      <c r="E606" s="27">
        <v>964.93893205430777</v>
      </c>
      <c r="F606" s="27">
        <v>416.8175</v>
      </c>
      <c r="G606" s="27">
        <v>1780</v>
      </c>
      <c r="H606" s="27">
        <v>642.14444444444439</v>
      </c>
      <c r="I606" s="27">
        <v>107.78666666666666</v>
      </c>
    </row>
    <row r="607" spans="1:9" x14ac:dyDescent="0.2">
      <c r="A607" s="23">
        <v>45682.791666666664</v>
      </c>
      <c r="B607" s="25">
        <v>45682.791666666664</v>
      </c>
      <c r="C607" s="27">
        <v>0</v>
      </c>
      <c r="D607" s="27">
        <v>0</v>
      </c>
      <c r="E607" s="27">
        <v>964.9666748046875</v>
      </c>
      <c r="F607" s="27">
        <v>0</v>
      </c>
      <c r="G607" s="27">
        <v>1780</v>
      </c>
      <c r="H607" s="27">
        <v>637.19583333333333</v>
      </c>
      <c r="I607" s="27">
        <v>8.8888888888888889E-3</v>
      </c>
    </row>
    <row r="608" spans="1:9" x14ac:dyDescent="0.2">
      <c r="A608" s="23">
        <v>45682.833333333336</v>
      </c>
      <c r="B608" s="25">
        <v>45682.833333333336</v>
      </c>
      <c r="C608" s="27">
        <v>0</v>
      </c>
      <c r="D608" s="27">
        <v>0</v>
      </c>
      <c r="E608" s="27">
        <v>964.9666748046875</v>
      </c>
      <c r="F608" s="27">
        <v>0</v>
      </c>
      <c r="G608" s="27">
        <v>1780</v>
      </c>
      <c r="H608" s="27">
        <v>637.62416666666661</v>
      </c>
      <c r="I608" s="27">
        <v>4.4444444444444444E-3</v>
      </c>
    </row>
    <row r="609" spans="1:9" x14ac:dyDescent="0.2">
      <c r="A609" s="23">
        <v>45682.875</v>
      </c>
      <c r="B609" s="25">
        <v>45682.875</v>
      </c>
      <c r="C609" s="27">
        <v>0</v>
      </c>
      <c r="D609" s="27">
        <v>0</v>
      </c>
      <c r="E609" s="27">
        <v>964.9666748046875</v>
      </c>
      <c r="F609" s="27">
        <v>0</v>
      </c>
      <c r="G609" s="27">
        <v>1780</v>
      </c>
      <c r="H609" s="27">
        <v>638.84833333333336</v>
      </c>
      <c r="I609" s="27">
        <v>0</v>
      </c>
    </row>
    <row r="610" spans="1:9" x14ac:dyDescent="0.2">
      <c r="A610" s="23">
        <v>45682.916666666664</v>
      </c>
      <c r="B610" s="25">
        <v>45682.916666666664</v>
      </c>
      <c r="C610" s="27">
        <v>21.630583343505858</v>
      </c>
      <c r="D610" s="27">
        <v>11.950472104946773</v>
      </c>
      <c r="E610" s="27">
        <v>965.10195248074001</v>
      </c>
      <c r="F610" s="27">
        <v>358.6925</v>
      </c>
      <c r="G610" s="27">
        <v>1780</v>
      </c>
      <c r="H610" s="27">
        <v>643.55472222222227</v>
      </c>
      <c r="I610" s="27">
        <v>92.758611111111108</v>
      </c>
    </row>
    <row r="611" spans="1:9" x14ac:dyDescent="0.2">
      <c r="A611" s="23">
        <v>45682.958333333336</v>
      </c>
      <c r="B611" s="25">
        <v>45682.958333333336</v>
      </c>
      <c r="C611" s="27">
        <v>47.756944424311321</v>
      </c>
      <c r="D611" s="27">
        <v>26.401999661856227</v>
      </c>
      <c r="E611" s="27">
        <v>965.33760401407881</v>
      </c>
      <c r="F611" s="27">
        <v>792.67916666666667</v>
      </c>
      <c r="G611" s="27">
        <v>1780</v>
      </c>
      <c r="H611" s="27">
        <v>641.73388888888894</v>
      </c>
      <c r="I611" s="27">
        <v>204.81972222222223</v>
      </c>
    </row>
    <row r="612" spans="1:9" x14ac:dyDescent="0.2">
      <c r="A612" s="23">
        <v>45683</v>
      </c>
      <c r="B612" s="25">
        <v>45683</v>
      </c>
      <c r="C612" s="27">
        <v>9.4828610992431646</v>
      </c>
      <c r="D612" s="27">
        <v>5.2743888209925753</v>
      </c>
      <c r="E612" s="27">
        <v>965.70135447184248</v>
      </c>
      <c r="F612" s="27">
        <v>158.58805555555554</v>
      </c>
      <c r="G612" s="27">
        <v>1780</v>
      </c>
      <c r="H612" s="27">
        <v>640.17611111111114</v>
      </c>
      <c r="I612" s="27">
        <v>40.851666666666667</v>
      </c>
    </row>
    <row r="613" spans="1:9" x14ac:dyDescent="0.2">
      <c r="A613" s="23">
        <v>45683.041666666664</v>
      </c>
      <c r="B613" s="25">
        <v>45683.041666666664</v>
      </c>
      <c r="C613" s="27">
        <v>107.85677776972453</v>
      </c>
      <c r="D613" s="27">
        <v>58.450415914720956</v>
      </c>
      <c r="E613" s="27">
        <v>966.26029622395833</v>
      </c>
      <c r="F613" s="27">
        <v>1754.9316666666666</v>
      </c>
      <c r="G613" s="27">
        <v>1780</v>
      </c>
      <c r="H613" s="27">
        <v>642.65972222222217</v>
      </c>
      <c r="I613" s="27">
        <v>453.40277777777777</v>
      </c>
    </row>
    <row r="614" spans="1:9" x14ac:dyDescent="0.2">
      <c r="A614" s="23">
        <v>45683.083333333336</v>
      </c>
      <c r="B614" s="25">
        <v>45683.083333333336</v>
      </c>
      <c r="C614" s="27">
        <v>108.2008611339993</v>
      </c>
      <c r="D614" s="27">
        <v>59.299999237060547</v>
      </c>
      <c r="E614" s="27">
        <v>967.2773192850749</v>
      </c>
      <c r="F614" s="27">
        <v>1779.8074999999999</v>
      </c>
      <c r="G614" s="27">
        <v>1780</v>
      </c>
      <c r="H614" s="27">
        <v>644.48777777777775</v>
      </c>
      <c r="I614" s="27">
        <v>460.23111111111109</v>
      </c>
    </row>
    <row r="615" spans="1:9" x14ac:dyDescent="0.2">
      <c r="A615" s="23">
        <v>45683.125</v>
      </c>
      <c r="B615" s="25">
        <v>45683.125</v>
      </c>
      <c r="C615" s="27">
        <v>108.11783336427477</v>
      </c>
      <c r="D615" s="27">
        <v>59.299999237060547</v>
      </c>
      <c r="E615" s="27">
        <v>968.29426366170253</v>
      </c>
      <c r="F615" s="27">
        <v>1779.611388888889</v>
      </c>
      <c r="G615" s="27">
        <v>1780</v>
      </c>
      <c r="H615" s="27">
        <v>643.09277777777777</v>
      </c>
      <c r="I615" s="27">
        <v>460.23305555555555</v>
      </c>
    </row>
    <row r="616" spans="1:9" x14ac:dyDescent="0.2">
      <c r="A616" s="23">
        <v>45683.166666666664</v>
      </c>
      <c r="B616" s="25">
        <v>45683.166666666664</v>
      </c>
      <c r="C616" s="27">
        <v>107.8746111339993</v>
      </c>
      <c r="D616" s="27">
        <v>59.283527015050254</v>
      </c>
      <c r="E616" s="27">
        <v>969.31120803833005</v>
      </c>
      <c r="F616" s="27">
        <v>1780</v>
      </c>
      <c r="G616" s="27">
        <v>1780</v>
      </c>
      <c r="H616" s="27">
        <v>644.29</v>
      </c>
      <c r="I616" s="27">
        <v>460.04805555555555</v>
      </c>
    </row>
    <row r="617" spans="1:9" x14ac:dyDescent="0.2">
      <c r="A617" s="23">
        <v>45683.208333333336</v>
      </c>
      <c r="B617" s="25">
        <v>45683.208333333336</v>
      </c>
      <c r="C617" s="27">
        <v>106.94466667387221</v>
      </c>
      <c r="D617" s="27">
        <v>59.283527015050254</v>
      </c>
      <c r="E617" s="27">
        <v>970.32815241495769</v>
      </c>
      <c r="F617" s="27">
        <v>1780</v>
      </c>
      <c r="G617" s="27">
        <v>1780</v>
      </c>
      <c r="H617" s="27">
        <v>645.19666666666672</v>
      </c>
      <c r="I617" s="27">
        <v>460.16416666666669</v>
      </c>
    </row>
    <row r="618" spans="1:9" x14ac:dyDescent="0.2">
      <c r="A618" s="23">
        <v>45683.25</v>
      </c>
      <c r="B618" s="25">
        <v>45683.25</v>
      </c>
      <c r="C618" s="27">
        <v>59.590194418165417</v>
      </c>
      <c r="D618" s="27">
        <v>34.443416223526</v>
      </c>
      <c r="E618" s="27">
        <v>971.25934026082359</v>
      </c>
      <c r="F618" s="27">
        <v>1033.9005555555555</v>
      </c>
      <c r="G618" s="27">
        <v>1780</v>
      </c>
      <c r="H618" s="27">
        <v>646.45694444444439</v>
      </c>
      <c r="I618" s="27">
        <v>267.33722222222224</v>
      </c>
    </row>
    <row r="619" spans="1:9" x14ac:dyDescent="0.2">
      <c r="A619" s="23">
        <v>45683.291666666664</v>
      </c>
      <c r="B619" s="25">
        <v>45683.291666666664</v>
      </c>
      <c r="C619" s="27">
        <v>0</v>
      </c>
      <c r="D619" s="27">
        <v>0</v>
      </c>
      <c r="E619" s="27">
        <v>971.433349609375</v>
      </c>
      <c r="F619" s="27">
        <v>0</v>
      </c>
      <c r="G619" s="27">
        <v>1780</v>
      </c>
      <c r="H619" s="27">
        <v>640.02055555555557</v>
      </c>
      <c r="I619" s="27">
        <v>0</v>
      </c>
    </row>
    <row r="620" spans="1:9" x14ac:dyDescent="0.2">
      <c r="A620" s="23">
        <v>45683.333333333336</v>
      </c>
      <c r="B620" s="25">
        <v>45683.333333333336</v>
      </c>
      <c r="C620" s="27">
        <v>18.383722222646078</v>
      </c>
      <c r="D620" s="27">
        <v>10.510777679218187</v>
      </c>
      <c r="E620" s="27">
        <v>971.54734954833987</v>
      </c>
      <c r="F620" s="27">
        <v>315.46472222222224</v>
      </c>
      <c r="G620" s="27">
        <v>1780</v>
      </c>
      <c r="H620" s="27">
        <v>642.09500000000003</v>
      </c>
      <c r="I620" s="27">
        <v>81.435833333333335</v>
      </c>
    </row>
    <row r="621" spans="1:9" x14ac:dyDescent="0.2">
      <c r="A621" s="23">
        <v>45683.375</v>
      </c>
      <c r="B621" s="25">
        <v>45683.375</v>
      </c>
      <c r="C621" s="27">
        <v>0</v>
      </c>
      <c r="D621" s="27">
        <v>0</v>
      </c>
      <c r="E621" s="27">
        <v>971.61663818359375</v>
      </c>
      <c r="F621" s="27">
        <v>0</v>
      </c>
      <c r="G621" s="27">
        <v>1780</v>
      </c>
      <c r="H621" s="27">
        <v>640.12361111111113</v>
      </c>
      <c r="I621" s="27">
        <v>8.8888888888888889E-3</v>
      </c>
    </row>
    <row r="622" spans="1:9" x14ac:dyDescent="0.2">
      <c r="A622" s="23">
        <v>45683.416666666664</v>
      </c>
      <c r="B622" s="25">
        <v>45683.416666666664</v>
      </c>
      <c r="C622" s="27">
        <v>0</v>
      </c>
      <c r="D622" s="27">
        <v>0</v>
      </c>
      <c r="E622" s="27">
        <v>971.61663818359375</v>
      </c>
      <c r="F622" s="27">
        <v>0</v>
      </c>
      <c r="G622" s="27">
        <v>1780</v>
      </c>
      <c r="H622" s="27">
        <v>638.07888888888886</v>
      </c>
      <c r="I622" s="27">
        <v>4.4444444444444444E-3</v>
      </c>
    </row>
    <row r="623" spans="1:9" x14ac:dyDescent="0.2">
      <c r="A623" s="23">
        <v>45683.458333333336</v>
      </c>
      <c r="B623" s="25">
        <v>45683.458333333336</v>
      </c>
      <c r="C623" s="27">
        <v>0</v>
      </c>
      <c r="D623" s="27">
        <v>0</v>
      </c>
      <c r="E623" s="27">
        <v>971.61663818359375</v>
      </c>
      <c r="F623" s="27">
        <v>0</v>
      </c>
      <c r="G623" s="27">
        <v>1780</v>
      </c>
      <c r="H623" s="27">
        <v>639.03222222222223</v>
      </c>
      <c r="I623" s="27">
        <v>0</v>
      </c>
    </row>
    <row r="624" spans="1:9" x14ac:dyDescent="0.2">
      <c r="A624" s="23">
        <v>45683.5</v>
      </c>
      <c r="B624" s="25">
        <v>45683.5</v>
      </c>
      <c r="C624" s="27">
        <v>0</v>
      </c>
      <c r="D624" s="27">
        <v>0</v>
      </c>
      <c r="E624" s="27">
        <v>971.61663818359375</v>
      </c>
      <c r="F624" s="27">
        <v>0</v>
      </c>
      <c r="G624" s="27">
        <v>1780</v>
      </c>
      <c r="H624" s="27">
        <v>638.08138888888891</v>
      </c>
      <c r="I624" s="27">
        <v>4.4444444444444444E-3</v>
      </c>
    </row>
    <row r="625" spans="1:9" x14ac:dyDescent="0.2">
      <c r="A625" s="23">
        <v>45683.541666666664</v>
      </c>
      <c r="B625" s="25">
        <v>45683.541666666664</v>
      </c>
      <c r="C625" s="27">
        <v>0</v>
      </c>
      <c r="D625" s="27">
        <v>0</v>
      </c>
      <c r="E625" s="27">
        <v>971.61663818359375</v>
      </c>
      <c r="F625" s="27">
        <v>0</v>
      </c>
      <c r="G625" s="27">
        <v>1780</v>
      </c>
      <c r="H625" s="27">
        <v>640.36333333333334</v>
      </c>
      <c r="I625" s="27">
        <v>8.8888888888888889E-3</v>
      </c>
    </row>
    <row r="626" spans="1:9" x14ac:dyDescent="0.2">
      <c r="A626" s="23">
        <v>45683.583333333336</v>
      </c>
      <c r="B626" s="25">
        <v>45683.583333333336</v>
      </c>
      <c r="C626" s="27">
        <v>0</v>
      </c>
      <c r="D626" s="27">
        <v>0</v>
      </c>
      <c r="E626" s="27">
        <v>971.61663818359375</v>
      </c>
      <c r="F626" s="27">
        <v>0</v>
      </c>
      <c r="G626" s="27">
        <v>1780</v>
      </c>
      <c r="H626" s="27">
        <v>646.59333333333336</v>
      </c>
      <c r="I626" s="27">
        <v>0</v>
      </c>
    </row>
    <row r="627" spans="1:9" x14ac:dyDescent="0.2">
      <c r="A627" s="23">
        <v>45683.625</v>
      </c>
      <c r="B627" s="25">
        <v>45683.625</v>
      </c>
      <c r="C627" s="27">
        <v>0</v>
      </c>
      <c r="D627" s="27">
        <v>0</v>
      </c>
      <c r="E627" s="27">
        <v>971.61663818359375</v>
      </c>
      <c r="F627" s="27">
        <v>0</v>
      </c>
      <c r="G627" s="27">
        <v>1780</v>
      </c>
      <c r="H627" s="27">
        <v>641.66138888888884</v>
      </c>
      <c r="I627" s="27">
        <v>4.4444444444444444E-3</v>
      </c>
    </row>
    <row r="628" spans="1:9" x14ac:dyDescent="0.2">
      <c r="A628" s="23">
        <v>45683.666666666664</v>
      </c>
      <c r="B628" s="25">
        <v>45683.666666666664</v>
      </c>
      <c r="C628" s="27">
        <v>0</v>
      </c>
      <c r="D628" s="27">
        <v>0</v>
      </c>
      <c r="E628" s="27">
        <v>971.61663818359375</v>
      </c>
      <c r="F628" s="27">
        <v>0</v>
      </c>
      <c r="G628" s="27">
        <v>1780</v>
      </c>
      <c r="H628" s="27">
        <v>641.45055555555552</v>
      </c>
      <c r="I628" s="27">
        <v>0</v>
      </c>
    </row>
    <row r="629" spans="1:9" x14ac:dyDescent="0.2">
      <c r="A629" s="23">
        <v>45683.708333333336</v>
      </c>
      <c r="B629" s="25">
        <v>45683.708333333336</v>
      </c>
      <c r="C629" s="27">
        <v>0</v>
      </c>
      <c r="D629" s="27">
        <v>0</v>
      </c>
      <c r="E629" s="27">
        <v>971.61663818359375</v>
      </c>
      <c r="F629" s="27">
        <v>0</v>
      </c>
      <c r="G629" s="27">
        <v>1780</v>
      </c>
      <c r="H629" s="27">
        <v>640.12166666666667</v>
      </c>
      <c r="I629" s="27">
        <v>0</v>
      </c>
    </row>
    <row r="630" spans="1:9" x14ac:dyDescent="0.2">
      <c r="A630" s="23">
        <v>45683.75</v>
      </c>
      <c r="B630" s="25">
        <v>45683.75</v>
      </c>
      <c r="C630" s="27">
        <v>0</v>
      </c>
      <c r="D630" s="27">
        <v>0</v>
      </c>
      <c r="E630" s="27">
        <v>971.61663818359375</v>
      </c>
      <c r="F630" s="27">
        <v>0</v>
      </c>
      <c r="G630" s="27">
        <v>1780</v>
      </c>
      <c r="H630" s="27">
        <v>640.30111111111114</v>
      </c>
      <c r="I630" s="27">
        <v>4.4444444444444444E-3</v>
      </c>
    </row>
    <row r="631" spans="1:9" x14ac:dyDescent="0.2">
      <c r="A631" s="23">
        <v>45683.791666666664</v>
      </c>
      <c r="B631" s="25">
        <v>45683.791666666664</v>
      </c>
      <c r="C631" s="27">
        <v>0</v>
      </c>
      <c r="D631" s="27">
        <v>0</v>
      </c>
      <c r="E631" s="27">
        <v>971.61663818359375</v>
      </c>
      <c r="F631" s="27">
        <v>0</v>
      </c>
      <c r="G631" s="27">
        <v>1780</v>
      </c>
      <c r="H631" s="27">
        <v>638.79138888888883</v>
      </c>
      <c r="I631" s="27">
        <v>0</v>
      </c>
    </row>
    <row r="632" spans="1:9" x14ac:dyDescent="0.2">
      <c r="A632" s="23">
        <v>45683.833333333336</v>
      </c>
      <c r="B632" s="25">
        <v>45683.833333333336</v>
      </c>
      <c r="C632" s="27">
        <v>0</v>
      </c>
      <c r="D632" s="27">
        <v>0</v>
      </c>
      <c r="E632" s="27">
        <v>971.61663818359375</v>
      </c>
      <c r="F632" s="27">
        <v>0</v>
      </c>
      <c r="G632" s="27">
        <v>1780</v>
      </c>
      <c r="H632" s="27">
        <v>638.7211111111111</v>
      </c>
      <c r="I632" s="27">
        <v>4.4444444444444444E-3</v>
      </c>
    </row>
    <row r="633" spans="1:9" x14ac:dyDescent="0.2">
      <c r="A633" s="23">
        <v>45683.875</v>
      </c>
      <c r="B633" s="25">
        <v>45683.875</v>
      </c>
      <c r="C633" s="27">
        <v>0</v>
      </c>
      <c r="D633" s="27">
        <v>0</v>
      </c>
      <c r="E633" s="27">
        <v>971.61663818359375</v>
      </c>
      <c r="F633" s="27">
        <v>0</v>
      </c>
      <c r="G633" s="27">
        <v>1780</v>
      </c>
      <c r="H633" s="27">
        <v>639.4952777777778</v>
      </c>
      <c r="I633" s="27">
        <v>4.4444444444444444E-3</v>
      </c>
    </row>
    <row r="634" spans="1:9" x14ac:dyDescent="0.2">
      <c r="A634" s="23">
        <v>45683.916666666664</v>
      </c>
      <c r="B634" s="25">
        <v>45683.916666666664</v>
      </c>
      <c r="C634" s="27">
        <v>0</v>
      </c>
      <c r="D634" s="27">
        <v>0</v>
      </c>
      <c r="E634" s="27">
        <v>971.61663818359375</v>
      </c>
      <c r="F634" s="27">
        <v>0</v>
      </c>
      <c r="G634" s="27">
        <v>1780</v>
      </c>
      <c r="H634" s="27">
        <v>642.58111111111111</v>
      </c>
      <c r="I634" s="27">
        <v>0</v>
      </c>
    </row>
    <row r="635" spans="1:9" x14ac:dyDescent="0.2">
      <c r="A635" s="23">
        <v>45683.958333333336</v>
      </c>
      <c r="B635" s="25">
        <v>45683.958333333336</v>
      </c>
      <c r="C635" s="27">
        <v>0</v>
      </c>
      <c r="D635" s="27">
        <v>0</v>
      </c>
      <c r="E635" s="27">
        <v>971.61663818359375</v>
      </c>
      <c r="F635" s="27">
        <v>0</v>
      </c>
      <c r="G635" s="27">
        <v>1780</v>
      </c>
      <c r="H635" s="27">
        <v>641.38499999999999</v>
      </c>
      <c r="I635" s="27">
        <v>8.8888888888888889E-3</v>
      </c>
    </row>
    <row r="636" spans="1:9" x14ac:dyDescent="0.2">
      <c r="A636" s="23">
        <v>45684</v>
      </c>
      <c r="B636" s="25">
        <v>45684</v>
      </c>
      <c r="C636" s="27">
        <v>0</v>
      </c>
      <c r="D636" s="27">
        <v>0</v>
      </c>
      <c r="E636" s="27">
        <v>971.61663818359375</v>
      </c>
      <c r="F636" s="27">
        <v>0</v>
      </c>
      <c r="G636" s="27">
        <v>1780</v>
      </c>
      <c r="H636" s="27">
        <v>642.42305555555561</v>
      </c>
      <c r="I636" s="27">
        <v>0</v>
      </c>
    </row>
    <row r="637" spans="1:9" x14ac:dyDescent="0.2">
      <c r="A637" s="23">
        <v>45684.041666666664</v>
      </c>
      <c r="B637" s="25">
        <v>45684.041666666664</v>
      </c>
      <c r="C637" s="27">
        <v>0</v>
      </c>
      <c r="D637" s="27">
        <v>0</v>
      </c>
      <c r="E637" s="27">
        <v>971.61663818359375</v>
      </c>
      <c r="F637" s="27">
        <v>0</v>
      </c>
      <c r="G637" s="27">
        <v>1780</v>
      </c>
      <c r="H637" s="27">
        <v>642.39361111111111</v>
      </c>
      <c r="I637" s="27">
        <v>0</v>
      </c>
    </row>
    <row r="638" spans="1:9" x14ac:dyDescent="0.2">
      <c r="A638" s="23">
        <v>45684.083333333336</v>
      </c>
      <c r="B638" s="25">
        <v>45684.083333333336</v>
      </c>
      <c r="C638" s="27">
        <v>0</v>
      </c>
      <c r="D638" s="27">
        <v>0</v>
      </c>
      <c r="E638" s="27">
        <v>971.61663818359375</v>
      </c>
      <c r="F638" s="27">
        <v>0</v>
      </c>
      <c r="G638" s="27">
        <v>1780</v>
      </c>
      <c r="H638" s="27">
        <v>643.55388888888888</v>
      </c>
      <c r="I638" s="27">
        <v>0</v>
      </c>
    </row>
    <row r="639" spans="1:9" x14ac:dyDescent="0.2">
      <c r="A639" s="23">
        <v>45684.125</v>
      </c>
      <c r="B639" s="25">
        <v>45684.125</v>
      </c>
      <c r="C639" s="27">
        <v>0</v>
      </c>
      <c r="D639" s="27">
        <v>0</v>
      </c>
      <c r="E639" s="27">
        <v>971.61663818359375</v>
      </c>
      <c r="F639" s="27">
        <v>0</v>
      </c>
      <c r="G639" s="27">
        <v>1780</v>
      </c>
      <c r="H639" s="27">
        <v>640.70500000000004</v>
      </c>
      <c r="I639" s="27">
        <v>1.7777777777777778E-2</v>
      </c>
    </row>
    <row r="640" spans="1:9" x14ac:dyDescent="0.2">
      <c r="A640" s="23">
        <v>45684.166666666664</v>
      </c>
      <c r="B640" s="25">
        <v>45684.166666666664</v>
      </c>
      <c r="C640" s="27">
        <v>0</v>
      </c>
      <c r="D640" s="27">
        <v>0</v>
      </c>
      <c r="E640" s="27">
        <v>971.61663818359375</v>
      </c>
      <c r="F640" s="27">
        <v>0</v>
      </c>
      <c r="G640" s="27">
        <v>1780</v>
      </c>
      <c r="H640" s="27">
        <v>641.53861111111109</v>
      </c>
      <c r="I640" s="27">
        <v>0</v>
      </c>
    </row>
    <row r="641" spans="1:9" x14ac:dyDescent="0.2">
      <c r="A641" s="23">
        <v>45684.208333333336</v>
      </c>
      <c r="B641" s="25">
        <v>45684.208333333336</v>
      </c>
      <c r="C641" s="27">
        <v>0</v>
      </c>
      <c r="D641" s="27">
        <v>0</v>
      </c>
      <c r="E641" s="27">
        <v>971.61663818359375</v>
      </c>
      <c r="F641" s="27">
        <v>0</v>
      </c>
      <c r="G641" s="27">
        <v>1780</v>
      </c>
      <c r="H641" s="27">
        <v>641.79222222222222</v>
      </c>
      <c r="I641" s="27">
        <v>8.8888888888888889E-3</v>
      </c>
    </row>
    <row r="642" spans="1:9" x14ac:dyDescent="0.2">
      <c r="A642" s="23">
        <v>45684.25</v>
      </c>
      <c r="B642" s="25">
        <v>45684.25</v>
      </c>
      <c r="C642" s="27">
        <v>0</v>
      </c>
      <c r="D642" s="27">
        <v>0</v>
      </c>
      <c r="E642" s="27">
        <v>971.61663818359375</v>
      </c>
      <c r="F642" s="27">
        <v>0</v>
      </c>
      <c r="G642" s="27">
        <v>1780</v>
      </c>
      <c r="H642" s="27">
        <v>638.76777777777772</v>
      </c>
      <c r="I642" s="27">
        <v>8.8888888888888889E-3</v>
      </c>
    </row>
    <row r="643" spans="1:9" x14ac:dyDescent="0.2">
      <c r="A643" s="23">
        <v>45684.291666666664</v>
      </c>
      <c r="B643" s="25">
        <v>45684.291666666664</v>
      </c>
      <c r="C643" s="27">
        <v>0</v>
      </c>
      <c r="D643" s="27">
        <v>0</v>
      </c>
      <c r="E643" s="27">
        <v>971.61663818359375</v>
      </c>
      <c r="F643" s="27">
        <v>0</v>
      </c>
      <c r="G643" s="27">
        <v>1780</v>
      </c>
      <c r="H643" s="27">
        <v>637.68944444444446</v>
      </c>
      <c r="I643" s="27">
        <v>0</v>
      </c>
    </row>
    <row r="644" spans="1:9" x14ac:dyDescent="0.2">
      <c r="A644" s="23">
        <v>45684.333333333336</v>
      </c>
      <c r="B644" s="25">
        <v>45684.333333333336</v>
      </c>
      <c r="C644" s="27">
        <v>0</v>
      </c>
      <c r="D644" s="27">
        <v>0</v>
      </c>
      <c r="E644" s="27">
        <v>971.61663818359375</v>
      </c>
      <c r="F644" s="27">
        <v>0</v>
      </c>
      <c r="G644" s="27">
        <v>1780</v>
      </c>
      <c r="H644" s="27">
        <v>638.70444444444445</v>
      </c>
      <c r="I644" s="27">
        <v>0</v>
      </c>
    </row>
    <row r="645" spans="1:9" x14ac:dyDescent="0.2">
      <c r="A645" s="23">
        <v>45684.375</v>
      </c>
      <c r="B645" s="25">
        <v>45684.375</v>
      </c>
      <c r="C645" s="27">
        <v>0</v>
      </c>
      <c r="D645" s="27">
        <v>0</v>
      </c>
      <c r="E645" s="27">
        <v>971.61663818359375</v>
      </c>
      <c r="F645" s="27">
        <v>0</v>
      </c>
      <c r="G645" s="27">
        <v>1780</v>
      </c>
      <c r="H645" s="27">
        <v>638.07472222222225</v>
      </c>
      <c r="I645" s="27">
        <v>1.7777777777777778E-2</v>
      </c>
    </row>
    <row r="646" spans="1:9" x14ac:dyDescent="0.2">
      <c r="A646" s="23">
        <v>45684.416666666664</v>
      </c>
      <c r="B646" s="25">
        <v>45684.416666666664</v>
      </c>
      <c r="C646" s="27">
        <v>0</v>
      </c>
      <c r="D646" s="27">
        <v>0</v>
      </c>
      <c r="E646" s="27">
        <v>971.61663818359375</v>
      </c>
      <c r="F646" s="27">
        <v>0</v>
      </c>
      <c r="G646" s="27">
        <v>1780</v>
      </c>
      <c r="H646" s="27">
        <v>262.95</v>
      </c>
      <c r="I646" s="27">
        <v>0</v>
      </c>
    </row>
    <row r="647" spans="1:9" x14ac:dyDescent="0.2">
      <c r="A647" s="23">
        <v>45684.458333333336</v>
      </c>
      <c r="B647" s="25">
        <v>45684.458333333336</v>
      </c>
      <c r="C647" s="27">
        <v>0</v>
      </c>
      <c r="D647" s="27">
        <v>0</v>
      </c>
      <c r="E647" s="27">
        <v>971.61663818359375</v>
      </c>
      <c r="F647" s="27">
        <v>0</v>
      </c>
      <c r="G647" s="27">
        <v>1780</v>
      </c>
      <c r="H647" s="27">
        <v>81</v>
      </c>
      <c r="I647" s="27">
        <v>0</v>
      </c>
    </row>
    <row r="648" spans="1:9" x14ac:dyDescent="0.2">
      <c r="A648" s="23">
        <v>45684.5</v>
      </c>
      <c r="B648" s="25">
        <v>45684.5</v>
      </c>
      <c r="C648" s="27">
        <v>0</v>
      </c>
      <c r="D648" s="27">
        <v>0</v>
      </c>
      <c r="E648" s="27">
        <v>971.61663818359375</v>
      </c>
      <c r="F648" s="27">
        <v>0</v>
      </c>
      <c r="G648" s="27">
        <v>1780</v>
      </c>
      <c r="H648" s="27">
        <v>77.040000000000006</v>
      </c>
      <c r="I648" s="27">
        <v>0</v>
      </c>
    </row>
    <row r="649" spans="1:9" x14ac:dyDescent="0.2">
      <c r="A649" s="23">
        <v>45684.541666666664</v>
      </c>
      <c r="B649" s="25">
        <v>45684.541666666664</v>
      </c>
      <c r="C649" s="27">
        <v>0</v>
      </c>
      <c r="D649" s="27">
        <v>0</v>
      </c>
      <c r="E649" s="27">
        <v>971.61663818359375</v>
      </c>
      <c r="F649" s="27">
        <v>0</v>
      </c>
      <c r="G649" s="27">
        <v>1780</v>
      </c>
      <c r="H649" s="27">
        <v>0</v>
      </c>
      <c r="I649" s="27">
        <v>0</v>
      </c>
    </row>
    <row r="650" spans="1:9" x14ac:dyDescent="0.2">
      <c r="A650" s="23">
        <v>45684.583333333336</v>
      </c>
      <c r="B650" s="25">
        <v>45684.583333333336</v>
      </c>
      <c r="C650" s="27">
        <v>0</v>
      </c>
      <c r="D650" s="27">
        <v>0</v>
      </c>
      <c r="E650" s="27">
        <v>0</v>
      </c>
      <c r="F650" s="27">
        <v>0</v>
      </c>
      <c r="G650" s="27">
        <v>0</v>
      </c>
      <c r="H650" s="27">
        <v>0</v>
      </c>
      <c r="I650" s="27">
        <v>0</v>
      </c>
    </row>
    <row r="651" spans="1:9" x14ac:dyDescent="0.2">
      <c r="A651" s="23">
        <v>45684.625</v>
      </c>
      <c r="B651" s="25">
        <v>45684.625</v>
      </c>
      <c r="C651" s="27">
        <v>0</v>
      </c>
      <c r="D651" s="27">
        <v>0</v>
      </c>
      <c r="E651" s="27">
        <v>0</v>
      </c>
      <c r="F651" s="27">
        <v>0</v>
      </c>
      <c r="G651" s="27">
        <v>0</v>
      </c>
      <c r="H651" s="27">
        <v>0</v>
      </c>
      <c r="I651" s="27">
        <v>0</v>
      </c>
    </row>
    <row r="652" spans="1:9" x14ac:dyDescent="0.2">
      <c r="A652" s="23">
        <v>45684.666666666664</v>
      </c>
      <c r="B652" s="25">
        <v>45684.666666666664</v>
      </c>
      <c r="C652" s="27">
        <v>0</v>
      </c>
      <c r="D652" s="27">
        <v>0</v>
      </c>
      <c r="E652" s="27">
        <v>0</v>
      </c>
      <c r="F652" s="27">
        <v>0</v>
      </c>
      <c r="G652" s="27">
        <v>0</v>
      </c>
      <c r="H652" s="27">
        <v>0</v>
      </c>
      <c r="I652" s="27">
        <v>0</v>
      </c>
    </row>
    <row r="653" spans="1:9" x14ac:dyDescent="0.2">
      <c r="A653" s="23">
        <v>45684.708333333336</v>
      </c>
      <c r="B653" s="25">
        <v>45684.708333333336</v>
      </c>
      <c r="C653" s="27">
        <v>0</v>
      </c>
      <c r="D653" s="27">
        <v>0</v>
      </c>
      <c r="E653" s="27">
        <v>0</v>
      </c>
      <c r="F653" s="27">
        <v>0</v>
      </c>
      <c r="G653" s="27">
        <v>0</v>
      </c>
      <c r="H653" s="27">
        <v>0</v>
      </c>
      <c r="I653" s="27">
        <v>0</v>
      </c>
    </row>
    <row r="654" spans="1:9" x14ac:dyDescent="0.2">
      <c r="A654" s="23">
        <v>45684.75</v>
      </c>
      <c r="B654" s="25">
        <v>45684.75</v>
      </c>
      <c r="C654" s="27">
        <v>5.2715356758192236E-2</v>
      </c>
      <c r="D654" s="27">
        <v>2.412619842968229E-3</v>
      </c>
      <c r="E654" s="27">
        <v>0</v>
      </c>
      <c r="F654" s="27">
        <v>6.117353308364544E-2</v>
      </c>
      <c r="G654" s="27">
        <v>0</v>
      </c>
      <c r="H654" s="27">
        <v>39.501560549313361</v>
      </c>
      <c r="I654" s="27">
        <v>8.4269662921348312E-3</v>
      </c>
    </row>
    <row r="655" spans="1:9" x14ac:dyDescent="0.2">
      <c r="A655" s="23">
        <v>45684.791666666664</v>
      </c>
      <c r="B655" s="25">
        <v>45684.791666666664</v>
      </c>
      <c r="C655" s="27">
        <v>23.345638911988999</v>
      </c>
      <c r="D655" s="27">
        <v>8.463361300809515</v>
      </c>
      <c r="E655" s="27">
        <v>0.12653241083905514</v>
      </c>
      <c r="F655" s="27">
        <v>254.03777777777779</v>
      </c>
      <c r="G655" s="27">
        <v>1409.661111111111</v>
      </c>
      <c r="H655" s="27">
        <v>346.63916666666665</v>
      </c>
      <c r="I655" s="27">
        <v>65.647777777777776</v>
      </c>
    </row>
    <row r="656" spans="1:9" x14ac:dyDescent="0.2">
      <c r="A656" s="23">
        <v>45684.833333333336</v>
      </c>
      <c r="B656" s="25">
        <v>45684.833333333336</v>
      </c>
      <c r="C656" s="27">
        <v>38.033083323372736</v>
      </c>
      <c r="D656" s="27">
        <v>15.795527597748571</v>
      </c>
      <c r="E656" s="27">
        <v>0.3859212899332245</v>
      </c>
      <c r="F656" s="27">
        <v>474.13166666666666</v>
      </c>
      <c r="G656" s="27">
        <v>1780</v>
      </c>
      <c r="H656" s="27">
        <v>580.25861111111112</v>
      </c>
      <c r="I656" s="27">
        <v>122.6425</v>
      </c>
    </row>
    <row r="657" spans="1:9" x14ac:dyDescent="0.2">
      <c r="A657" s="23">
        <v>45684.875</v>
      </c>
      <c r="B657" s="25">
        <v>45684.875</v>
      </c>
      <c r="C657" s="27">
        <v>0</v>
      </c>
      <c r="D657" s="27">
        <v>0</v>
      </c>
      <c r="E657" s="27">
        <v>0.48333331942558289</v>
      </c>
      <c r="F657" s="27">
        <v>0</v>
      </c>
      <c r="G657" s="27">
        <v>1780</v>
      </c>
      <c r="H657" s="27">
        <v>643.72833333333335</v>
      </c>
      <c r="I657" s="27">
        <v>0</v>
      </c>
    </row>
    <row r="658" spans="1:9" x14ac:dyDescent="0.2">
      <c r="A658" s="23">
        <v>45684.916666666664</v>
      </c>
      <c r="B658" s="25">
        <v>45684.916666666664</v>
      </c>
      <c r="C658" s="27">
        <v>0</v>
      </c>
      <c r="D658" s="27">
        <v>0</v>
      </c>
      <c r="E658" s="27">
        <v>0.48333331942558289</v>
      </c>
      <c r="F658" s="27">
        <v>0</v>
      </c>
      <c r="G658" s="27">
        <v>1780</v>
      </c>
      <c r="H658" s="27">
        <v>644.20194444444439</v>
      </c>
      <c r="I658" s="27">
        <v>0</v>
      </c>
    </row>
    <row r="659" spans="1:9" x14ac:dyDescent="0.2">
      <c r="A659" s="23">
        <v>45684.958333333336</v>
      </c>
      <c r="B659" s="25">
        <v>45684.958333333336</v>
      </c>
      <c r="C659" s="27">
        <v>0</v>
      </c>
      <c r="D659" s="27">
        <v>0</v>
      </c>
      <c r="E659" s="27">
        <v>0.48333331942558289</v>
      </c>
      <c r="F659" s="27">
        <v>0</v>
      </c>
      <c r="G659" s="27">
        <v>1780</v>
      </c>
      <c r="H659" s="27">
        <v>639.11249999999995</v>
      </c>
      <c r="I659" s="27">
        <v>0</v>
      </c>
    </row>
    <row r="660" spans="1:9" x14ac:dyDescent="0.2">
      <c r="A660" s="23">
        <v>45685</v>
      </c>
      <c r="B660" s="25">
        <v>45685</v>
      </c>
      <c r="C660" s="27">
        <v>0</v>
      </c>
      <c r="D660" s="27">
        <v>0</v>
      </c>
      <c r="E660" s="27">
        <v>0.48333331942558289</v>
      </c>
      <c r="F660" s="27">
        <v>0</v>
      </c>
      <c r="G660" s="27">
        <v>1780</v>
      </c>
      <c r="H660" s="27">
        <v>640.43499999999995</v>
      </c>
      <c r="I660" s="27">
        <v>0</v>
      </c>
    </row>
    <row r="661" spans="1:9" x14ac:dyDescent="0.2">
      <c r="A661" s="23">
        <v>45685.041666666664</v>
      </c>
      <c r="B661" s="25">
        <v>45685.041666666664</v>
      </c>
      <c r="C661" s="27">
        <v>0</v>
      </c>
      <c r="D661" s="27">
        <v>0</v>
      </c>
      <c r="E661" s="27">
        <v>0.48333331942558289</v>
      </c>
      <c r="F661" s="27">
        <v>0</v>
      </c>
      <c r="G661" s="27">
        <v>1780</v>
      </c>
      <c r="H661" s="27">
        <v>643.89750000000004</v>
      </c>
      <c r="I661" s="27">
        <v>4.4444444444444444E-3</v>
      </c>
    </row>
    <row r="662" spans="1:9" x14ac:dyDescent="0.2">
      <c r="A662" s="23">
        <v>45685.083333333336</v>
      </c>
      <c r="B662" s="25">
        <v>45685.083333333336</v>
      </c>
      <c r="C662" s="27">
        <v>0</v>
      </c>
      <c r="D662" s="27">
        <v>0</v>
      </c>
      <c r="E662" s="27">
        <v>0.48333331942558289</v>
      </c>
      <c r="F662" s="27">
        <v>0</v>
      </c>
      <c r="G662" s="27">
        <v>1780</v>
      </c>
      <c r="H662" s="27">
        <v>643.53027777777777</v>
      </c>
      <c r="I662" s="27">
        <v>4.4444444444444444E-3</v>
      </c>
    </row>
    <row r="663" spans="1:9" x14ac:dyDescent="0.2">
      <c r="A663" s="23">
        <v>45685.125</v>
      </c>
      <c r="B663" s="25">
        <v>45685.125</v>
      </c>
      <c r="C663" s="27">
        <v>0</v>
      </c>
      <c r="D663" s="27">
        <v>0</v>
      </c>
      <c r="E663" s="27">
        <v>0.48333331942558289</v>
      </c>
      <c r="F663" s="27">
        <v>0</v>
      </c>
      <c r="G663" s="27">
        <v>1780</v>
      </c>
      <c r="H663" s="27">
        <v>645.18499999999995</v>
      </c>
      <c r="I663" s="27">
        <v>4.4444444444444444E-3</v>
      </c>
    </row>
    <row r="664" spans="1:9" x14ac:dyDescent="0.2">
      <c r="A664" s="23">
        <v>45685.166666666664</v>
      </c>
      <c r="B664" s="25">
        <v>45685.166666666664</v>
      </c>
      <c r="C664" s="27">
        <v>0</v>
      </c>
      <c r="D664" s="27">
        <v>0</v>
      </c>
      <c r="E664" s="27">
        <v>0.48333331942558289</v>
      </c>
      <c r="F664" s="27">
        <v>0</v>
      </c>
      <c r="G664" s="27">
        <v>1780</v>
      </c>
      <c r="H664" s="27">
        <v>645.75111111111107</v>
      </c>
      <c r="I664" s="27">
        <v>4.4444444444444444E-3</v>
      </c>
    </row>
    <row r="665" spans="1:9" x14ac:dyDescent="0.2">
      <c r="A665" s="23">
        <v>45685.208333333336</v>
      </c>
      <c r="B665" s="25">
        <v>45685.208333333336</v>
      </c>
      <c r="C665" s="27">
        <v>0</v>
      </c>
      <c r="D665" s="27">
        <v>0</v>
      </c>
      <c r="E665" s="27">
        <v>0.48333331942558289</v>
      </c>
      <c r="F665" s="27">
        <v>0</v>
      </c>
      <c r="G665" s="27">
        <v>1780</v>
      </c>
      <c r="H665" s="27">
        <v>641.5094444444444</v>
      </c>
      <c r="I665" s="27">
        <v>0</v>
      </c>
    </row>
    <row r="666" spans="1:9" x14ac:dyDescent="0.2">
      <c r="A666" s="23">
        <v>45685.25</v>
      </c>
      <c r="B666" s="25">
        <v>45685.25</v>
      </c>
      <c r="C666" s="27">
        <v>0</v>
      </c>
      <c r="D666" s="27">
        <v>0</v>
      </c>
      <c r="E666" s="27">
        <v>0.48333331942558289</v>
      </c>
      <c r="F666" s="27">
        <v>0</v>
      </c>
      <c r="G666" s="27">
        <v>1780</v>
      </c>
      <c r="H666" s="27">
        <v>640.94500000000005</v>
      </c>
      <c r="I666" s="27">
        <v>0</v>
      </c>
    </row>
    <row r="667" spans="1:9" x14ac:dyDescent="0.2">
      <c r="A667" s="23">
        <v>45685.291666666664</v>
      </c>
      <c r="B667" s="25">
        <v>45685.291666666664</v>
      </c>
      <c r="C667" s="27">
        <v>0</v>
      </c>
      <c r="D667" s="27">
        <v>0</v>
      </c>
      <c r="E667" s="27">
        <v>0.48333331942558289</v>
      </c>
      <c r="F667" s="27">
        <v>0</v>
      </c>
      <c r="G667" s="27">
        <v>1780</v>
      </c>
      <c r="H667" s="27">
        <v>643.28027777777777</v>
      </c>
      <c r="I667" s="27">
        <v>0</v>
      </c>
    </row>
    <row r="668" spans="1:9" x14ac:dyDescent="0.2">
      <c r="A668" s="23">
        <v>45685.333333333336</v>
      </c>
      <c r="B668" s="25">
        <v>45685.333333333336</v>
      </c>
      <c r="C668" s="27">
        <v>0</v>
      </c>
      <c r="D668" s="27">
        <v>0</v>
      </c>
      <c r="E668" s="27">
        <v>0.48333331942558289</v>
      </c>
      <c r="F668" s="27">
        <v>0</v>
      </c>
      <c r="G668" s="27">
        <v>1780</v>
      </c>
      <c r="H668" s="27">
        <v>640.29222222222222</v>
      </c>
      <c r="I668" s="27">
        <v>4.4444444444444444E-3</v>
      </c>
    </row>
    <row r="669" spans="1:9" x14ac:dyDescent="0.2">
      <c r="A669" s="23">
        <v>45685.375</v>
      </c>
      <c r="B669" s="25">
        <v>45685.375</v>
      </c>
      <c r="C669" s="27">
        <v>0</v>
      </c>
      <c r="D669" s="27">
        <v>0</v>
      </c>
      <c r="E669" s="27">
        <v>0.48333331942558289</v>
      </c>
      <c r="F669" s="27">
        <v>0</v>
      </c>
      <c r="G669" s="27">
        <v>1780</v>
      </c>
      <c r="H669" s="27">
        <v>639.67305555555561</v>
      </c>
      <c r="I669" s="27">
        <v>0</v>
      </c>
    </row>
    <row r="670" spans="1:9" x14ac:dyDescent="0.2">
      <c r="A670" s="23">
        <v>45685.416666666664</v>
      </c>
      <c r="B670" s="25">
        <v>45685.416666666664</v>
      </c>
      <c r="C670" s="27">
        <v>0</v>
      </c>
      <c r="D670" s="27">
        <v>0</v>
      </c>
      <c r="E670" s="27">
        <v>0.48333331942558289</v>
      </c>
      <c r="F670" s="27">
        <v>0</v>
      </c>
      <c r="G670" s="27">
        <v>1780</v>
      </c>
      <c r="H670" s="27">
        <v>300.11638888888888</v>
      </c>
      <c r="I670" s="27">
        <v>0</v>
      </c>
    </row>
    <row r="671" spans="1:9" x14ac:dyDescent="0.2">
      <c r="A671" s="23">
        <v>45685.458333333336</v>
      </c>
      <c r="B671" s="25">
        <v>45685.458333333336</v>
      </c>
      <c r="C671" s="27">
        <v>3.3282777934604222</v>
      </c>
      <c r="D671" s="27">
        <v>1.1018888878822326</v>
      </c>
      <c r="E671" s="27">
        <v>0.49262962347931333</v>
      </c>
      <c r="F671" s="27">
        <v>33.076944444444443</v>
      </c>
      <c r="G671" s="27">
        <v>1780</v>
      </c>
      <c r="H671" s="27">
        <v>215.53166666666667</v>
      </c>
      <c r="I671" s="27">
        <v>8.57</v>
      </c>
    </row>
    <row r="672" spans="1:9" x14ac:dyDescent="0.2">
      <c r="A672" s="23">
        <v>45685.5</v>
      </c>
      <c r="B672" s="25">
        <v>45685.5</v>
      </c>
      <c r="C672" s="27">
        <v>2.3803055561913382</v>
      </c>
      <c r="D672" s="27">
        <v>0.69808334241310754</v>
      </c>
      <c r="E672" s="27">
        <v>0.51821297784646347</v>
      </c>
      <c r="F672" s="27">
        <v>20.990277777777777</v>
      </c>
      <c r="G672" s="27">
        <v>1780</v>
      </c>
      <c r="H672" s="27">
        <v>120.75611111111111</v>
      </c>
      <c r="I672" s="27">
        <v>5.424722222222222</v>
      </c>
    </row>
    <row r="673" spans="1:9" x14ac:dyDescent="0.2">
      <c r="A673" s="23">
        <v>45685.541666666664</v>
      </c>
      <c r="B673" s="25">
        <v>45685.541666666664</v>
      </c>
      <c r="C673" s="27">
        <v>0</v>
      </c>
      <c r="D673" s="27">
        <v>0</v>
      </c>
      <c r="E673" s="27">
        <v>0.53333336114883423</v>
      </c>
      <c r="F673" s="27">
        <v>0</v>
      </c>
      <c r="G673" s="27">
        <v>1780</v>
      </c>
      <c r="H673" s="27">
        <v>81</v>
      </c>
      <c r="I673" s="27">
        <v>0</v>
      </c>
    </row>
    <row r="674" spans="1:9" x14ac:dyDescent="0.2">
      <c r="A674" s="23">
        <v>45685.583333333336</v>
      </c>
      <c r="B674" s="25">
        <v>45685.583333333336</v>
      </c>
      <c r="C674" s="27">
        <v>0</v>
      </c>
      <c r="D674" s="27">
        <v>0</v>
      </c>
      <c r="E674" s="27">
        <v>0.53333336114883423</v>
      </c>
      <c r="F674" s="27">
        <v>0</v>
      </c>
      <c r="G674" s="27">
        <v>1780</v>
      </c>
      <c r="H674" s="27">
        <v>612.52027777777778</v>
      </c>
      <c r="I674" s="27">
        <v>8.8888888888888889E-3</v>
      </c>
    </row>
    <row r="675" spans="1:9" x14ac:dyDescent="0.2">
      <c r="A675" s="23">
        <v>45685.625</v>
      </c>
      <c r="B675" s="25">
        <v>45685.625</v>
      </c>
      <c r="C675" s="27">
        <v>6.0962777837117512</v>
      </c>
      <c r="D675" s="27">
        <v>1.8630556126766735</v>
      </c>
      <c r="E675" s="27">
        <v>0.55372223059336345</v>
      </c>
      <c r="F675" s="27">
        <v>55.888055555555553</v>
      </c>
      <c r="G675" s="27">
        <v>1780</v>
      </c>
      <c r="H675" s="27">
        <v>414.65527777777777</v>
      </c>
      <c r="I675" s="27">
        <v>14.484444444444444</v>
      </c>
    </row>
    <row r="676" spans="1:9" x14ac:dyDescent="0.2">
      <c r="A676" s="23">
        <v>45685.666666666664</v>
      </c>
      <c r="B676" s="25">
        <v>45685.666666666664</v>
      </c>
      <c r="C676" s="27">
        <v>0</v>
      </c>
      <c r="D676" s="27">
        <v>0</v>
      </c>
      <c r="E676" s="27">
        <v>0.58333331346511841</v>
      </c>
      <c r="F676" s="27">
        <v>0</v>
      </c>
      <c r="G676" s="27">
        <v>1780</v>
      </c>
      <c r="H676" s="27">
        <v>82</v>
      </c>
      <c r="I676" s="27">
        <v>0</v>
      </c>
    </row>
    <row r="677" spans="1:9" x14ac:dyDescent="0.2">
      <c r="A677" s="23">
        <v>45685.708333333336</v>
      </c>
      <c r="B677" s="25">
        <v>45685.708333333336</v>
      </c>
      <c r="C677" s="27">
        <v>5.5880833155330683</v>
      </c>
      <c r="D677" s="27">
        <v>1.9232499796814388</v>
      </c>
      <c r="E677" s="27">
        <v>0.6072962838411331</v>
      </c>
      <c r="F677" s="27">
        <v>57.743055555555557</v>
      </c>
      <c r="G677" s="27">
        <v>1780</v>
      </c>
      <c r="H677" s="27">
        <v>303.79027777777776</v>
      </c>
      <c r="I677" s="27">
        <v>14.953611111111112</v>
      </c>
    </row>
    <row r="678" spans="1:9" x14ac:dyDescent="0.2">
      <c r="A678" s="23">
        <v>45685.75</v>
      </c>
      <c r="B678" s="25">
        <v>45685.75</v>
      </c>
      <c r="C678" s="27">
        <v>0</v>
      </c>
      <c r="D678" s="27">
        <v>0</v>
      </c>
      <c r="E678" s="27">
        <v>0.63333332538604736</v>
      </c>
      <c r="F678" s="27">
        <v>0</v>
      </c>
      <c r="G678" s="27">
        <v>1780</v>
      </c>
      <c r="H678" s="27">
        <v>631.91138888888884</v>
      </c>
      <c r="I678" s="27">
        <v>0</v>
      </c>
    </row>
    <row r="679" spans="1:9" x14ac:dyDescent="0.2">
      <c r="A679" s="23">
        <v>45685.791666666664</v>
      </c>
      <c r="B679" s="25">
        <v>45685.791666666664</v>
      </c>
      <c r="C679" s="27">
        <v>0</v>
      </c>
      <c r="D679" s="27">
        <v>0</v>
      </c>
      <c r="E679" s="27">
        <v>0.63333332538604736</v>
      </c>
      <c r="F679" s="27">
        <v>0</v>
      </c>
      <c r="G679" s="27">
        <v>1780</v>
      </c>
      <c r="H679" s="27">
        <v>640.72638888888889</v>
      </c>
      <c r="I679" s="27">
        <v>4.4444444444444444E-3</v>
      </c>
    </row>
    <row r="680" spans="1:9" x14ac:dyDescent="0.2">
      <c r="A680" s="23">
        <v>45685.833333333336</v>
      </c>
      <c r="B680" s="25">
        <v>45685.833333333336</v>
      </c>
      <c r="C680" s="27">
        <v>0</v>
      </c>
      <c r="D680" s="27">
        <v>0</v>
      </c>
      <c r="E680" s="27">
        <v>0.63333332538604736</v>
      </c>
      <c r="F680" s="27">
        <v>0</v>
      </c>
      <c r="G680" s="27">
        <v>1780</v>
      </c>
      <c r="H680" s="27">
        <v>642.57388888888886</v>
      </c>
      <c r="I680" s="27">
        <v>4.4444444444444444E-3</v>
      </c>
    </row>
    <row r="681" spans="1:9" x14ac:dyDescent="0.2">
      <c r="A681" s="23">
        <v>45685.875</v>
      </c>
      <c r="B681" s="25">
        <v>45685.875</v>
      </c>
      <c r="C681" s="27">
        <v>9.3753888693948593</v>
      </c>
      <c r="D681" s="27">
        <v>3.7321388424270685</v>
      </c>
      <c r="E681" s="27">
        <v>0.69498608951767282</v>
      </c>
      <c r="F681" s="27">
        <v>111.98694444444445</v>
      </c>
      <c r="G681" s="27">
        <v>1780</v>
      </c>
      <c r="H681" s="27">
        <v>642.24444444444441</v>
      </c>
      <c r="I681" s="27">
        <v>28.87361111111111</v>
      </c>
    </row>
    <row r="682" spans="1:9" x14ac:dyDescent="0.2">
      <c r="A682" s="23">
        <v>45685.916666666664</v>
      </c>
      <c r="B682" s="25">
        <v>45685.916666666664</v>
      </c>
      <c r="C682" s="27">
        <v>0</v>
      </c>
      <c r="D682" s="27">
        <v>0</v>
      </c>
      <c r="E682" s="27">
        <v>0.71666663885116577</v>
      </c>
      <c r="F682" s="27">
        <v>0</v>
      </c>
      <c r="G682" s="27">
        <v>1780</v>
      </c>
      <c r="H682" s="27">
        <v>636.85027777777782</v>
      </c>
      <c r="I682" s="27">
        <v>4.4444444444444444E-3</v>
      </c>
    </row>
    <row r="683" spans="1:9" x14ac:dyDescent="0.2">
      <c r="A683" s="23">
        <v>45685.958333333336</v>
      </c>
      <c r="B683" s="25">
        <v>45685.958333333336</v>
      </c>
      <c r="C683" s="27">
        <v>0</v>
      </c>
      <c r="D683" s="27">
        <v>0</v>
      </c>
      <c r="E683" s="27">
        <v>0.71666663885116577</v>
      </c>
      <c r="F683" s="27">
        <v>0</v>
      </c>
      <c r="G683" s="27">
        <v>1780</v>
      </c>
      <c r="H683" s="27">
        <v>638.03250000000003</v>
      </c>
      <c r="I683" s="27">
        <v>4.4444444444444444E-3</v>
      </c>
    </row>
    <row r="684" spans="1:9" x14ac:dyDescent="0.2">
      <c r="A684" s="23">
        <v>45686</v>
      </c>
      <c r="B684" s="25">
        <v>45686</v>
      </c>
      <c r="C684" s="27">
        <v>16.125888866848417</v>
      </c>
      <c r="D684" s="27">
        <v>5.5681388189395271</v>
      </c>
      <c r="E684" s="27">
        <v>0.72158330867687859</v>
      </c>
      <c r="F684" s="27">
        <v>167.10694444444445</v>
      </c>
      <c r="G684" s="27">
        <v>1780</v>
      </c>
      <c r="H684" s="27">
        <v>643.11638888888888</v>
      </c>
      <c r="I684" s="27">
        <v>43.115277777777777</v>
      </c>
    </row>
    <row r="685" spans="1:9" x14ac:dyDescent="0.2">
      <c r="A685" s="23">
        <v>45686.041666666664</v>
      </c>
      <c r="B685" s="25">
        <v>45686.041666666664</v>
      </c>
      <c r="C685" s="27">
        <v>166.6235555521647</v>
      </c>
      <c r="D685" s="27">
        <v>59.299999237060547</v>
      </c>
      <c r="E685" s="27">
        <v>1.3298472203314304</v>
      </c>
      <c r="F685" s="27">
        <v>1779.9741666666666</v>
      </c>
      <c r="G685" s="27">
        <v>1780</v>
      </c>
      <c r="H685" s="27">
        <v>643.28</v>
      </c>
      <c r="I685" s="27">
        <v>460.21694444444444</v>
      </c>
    </row>
    <row r="686" spans="1:9" x14ac:dyDescent="0.2">
      <c r="A686" s="23">
        <v>45686.083333333336</v>
      </c>
      <c r="B686" s="25">
        <v>45686.083333333336</v>
      </c>
      <c r="C686" s="27">
        <v>161.57833332909479</v>
      </c>
      <c r="D686" s="27">
        <v>59.283527015050254</v>
      </c>
      <c r="E686" s="27">
        <v>2.3467916649580003</v>
      </c>
      <c r="F686" s="27">
        <v>1779.9602777777777</v>
      </c>
      <c r="G686" s="27">
        <v>1780</v>
      </c>
      <c r="H686" s="27">
        <v>646.03250000000003</v>
      </c>
      <c r="I686" s="27">
        <v>460.13722222222225</v>
      </c>
    </row>
    <row r="687" spans="1:9" x14ac:dyDescent="0.2">
      <c r="A687" s="23">
        <v>45686.125</v>
      </c>
      <c r="B687" s="25">
        <v>45686.125</v>
      </c>
      <c r="C687" s="27">
        <v>143.31511120266384</v>
      </c>
      <c r="D687" s="27">
        <v>51.904332666264636</v>
      </c>
      <c r="E687" s="27">
        <v>3.283074064652125</v>
      </c>
      <c r="F687" s="27">
        <v>1558.395</v>
      </c>
      <c r="G687" s="27">
        <v>1780</v>
      </c>
      <c r="H687" s="27">
        <v>642.1494444444445</v>
      </c>
      <c r="I687" s="27">
        <v>402.67944444444447</v>
      </c>
    </row>
    <row r="688" spans="1:9" x14ac:dyDescent="0.2">
      <c r="A688" s="23">
        <v>45686.166666666664</v>
      </c>
      <c r="B688" s="25">
        <v>45686.166666666664</v>
      </c>
      <c r="C688" s="27">
        <v>163.53927769978841</v>
      </c>
      <c r="D688" s="27">
        <v>59.283527015050254</v>
      </c>
      <c r="E688" s="27">
        <v>4.2620694422721863</v>
      </c>
      <c r="F688" s="27">
        <v>1779.9288888888889</v>
      </c>
      <c r="G688" s="27">
        <v>1780</v>
      </c>
      <c r="H688" s="27">
        <v>642.20777777777778</v>
      </c>
      <c r="I688" s="27">
        <v>460.0938888888889</v>
      </c>
    </row>
    <row r="689" spans="1:9" x14ac:dyDescent="0.2">
      <c r="A689" s="23">
        <v>45686.208333333336</v>
      </c>
      <c r="B689" s="25">
        <v>45686.208333333336</v>
      </c>
      <c r="C689" s="27">
        <v>161.78530548519558</v>
      </c>
      <c r="D689" s="27">
        <v>59.283527015050254</v>
      </c>
      <c r="E689" s="27">
        <v>5.2790138820807142</v>
      </c>
      <c r="F689" s="27">
        <v>1780</v>
      </c>
      <c r="G689" s="27">
        <v>1780</v>
      </c>
      <c r="H689" s="27">
        <v>643.08833333333337</v>
      </c>
      <c r="I689" s="27">
        <v>460.13694444444445</v>
      </c>
    </row>
    <row r="690" spans="1:9" x14ac:dyDescent="0.2">
      <c r="A690" s="23">
        <v>45686.25</v>
      </c>
      <c r="B690" s="25">
        <v>45686.25</v>
      </c>
      <c r="C690" s="27">
        <v>159.76366661495632</v>
      </c>
      <c r="D690" s="27">
        <v>59.299999237060547</v>
      </c>
      <c r="E690" s="27">
        <v>6.2959583302338915</v>
      </c>
      <c r="F690" s="27">
        <v>1779.9391666666668</v>
      </c>
      <c r="G690" s="27">
        <v>1780</v>
      </c>
      <c r="H690" s="27">
        <v>643.72416666666663</v>
      </c>
      <c r="I690" s="27">
        <v>460.2186111111111</v>
      </c>
    </row>
    <row r="691" spans="1:9" x14ac:dyDescent="0.2">
      <c r="A691" s="23">
        <v>45686.291666666664</v>
      </c>
      <c r="B691" s="25">
        <v>45686.291666666664</v>
      </c>
      <c r="C691" s="27">
        <v>27.431666649712458</v>
      </c>
      <c r="D691" s="27">
        <v>11.18463874499003</v>
      </c>
      <c r="E691" s="27">
        <v>6.9801111102104185</v>
      </c>
      <c r="F691" s="27">
        <v>335.75861111111112</v>
      </c>
      <c r="G691" s="27">
        <v>1780</v>
      </c>
      <c r="H691" s="27">
        <v>640.27333333333331</v>
      </c>
      <c r="I691" s="27">
        <v>86.816388888888895</v>
      </c>
    </row>
    <row r="692" spans="1:9" x14ac:dyDescent="0.2">
      <c r="A692" s="23">
        <v>45686.333333333336</v>
      </c>
      <c r="B692" s="25">
        <v>45686.333333333336</v>
      </c>
      <c r="C692" s="27">
        <v>0</v>
      </c>
      <c r="D692" s="27">
        <v>0</v>
      </c>
      <c r="E692" s="27">
        <v>7</v>
      </c>
      <c r="F692" s="27">
        <v>0</v>
      </c>
      <c r="G692" s="27">
        <v>1780</v>
      </c>
      <c r="H692" s="27">
        <v>638.04333333333329</v>
      </c>
      <c r="I692" s="27">
        <v>0</v>
      </c>
    </row>
    <row r="693" spans="1:9" x14ac:dyDescent="0.2">
      <c r="A693" s="23">
        <v>45686.375</v>
      </c>
      <c r="B693" s="25">
        <v>45686.375</v>
      </c>
      <c r="C693" s="27">
        <v>9.7388333299424907</v>
      </c>
      <c r="D693" s="27">
        <v>3.9479166181054381</v>
      </c>
      <c r="E693" s="27">
        <v>7.0021666725476583</v>
      </c>
      <c r="F693" s="27">
        <v>118.45027777777777</v>
      </c>
      <c r="G693" s="27">
        <v>1780</v>
      </c>
      <c r="H693" s="27">
        <v>641.13499999999999</v>
      </c>
      <c r="I693" s="27">
        <v>30.544444444444444</v>
      </c>
    </row>
    <row r="694" spans="1:9" x14ac:dyDescent="0.2">
      <c r="A694" s="23">
        <v>45686.416666666664</v>
      </c>
      <c r="B694" s="25">
        <v>45686.416666666664</v>
      </c>
      <c r="C694" s="27">
        <v>17.097194457583957</v>
      </c>
      <c r="D694" s="27">
        <v>7.1066665765311985</v>
      </c>
      <c r="E694" s="27">
        <v>7.1764306116104128</v>
      </c>
      <c r="F694" s="27">
        <v>213.36583333333334</v>
      </c>
      <c r="G694" s="27">
        <v>1780</v>
      </c>
      <c r="H694" s="27">
        <v>642.9713888888889</v>
      </c>
      <c r="I694" s="27">
        <v>55.281388888888891</v>
      </c>
    </row>
    <row r="695" spans="1:9" x14ac:dyDescent="0.2">
      <c r="A695" s="23">
        <v>45686.458333333336</v>
      </c>
      <c r="B695" s="25">
        <v>45686.458333333336</v>
      </c>
      <c r="C695" s="27">
        <v>62.246166725158695</v>
      </c>
      <c r="D695" s="27">
        <v>23.907971917523277</v>
      </c>
      <c r="E695" s="27">
        <v>7.2696852172745601</v>
      </c>
      <c r="F695" s="27">
        <v>717.59277777777777</v>
      </c>
      <c r="G695" s="27">
        <v>1780</v>
      </c>
      <c r="H695" s="27">
        <v>639.81805555555559</v>
      </c>
      <c r="I695" s="27">
        <v>185.22638888888889</v>
      </c>
    </row>
    <row r="696" spans="1:9" x14ac:dyDescent="0.2">
      <c r="A696" s="23">
        <v>45686.5</v>
      </c>
      <c r="B696" s="25">
        <v>45686.5</v>
      </c>
      <c r="C696" s="27">
        <v>110.40222233401404</v>
      </c>
      <c r="D696" s="27">
        <v>43.13499944691857</v>
      </c>
      <c r="E696" s="27">
        <v>7.9943565179242029</v>
      </c>
      <c r="F696" s="27">
        <v>1295.2802777777779</v>
      </c>
      <c r="G696" s="27">
        <v>1780</v>
      </c>
      <c r="H696" s="27">
        <v>639.8797222222222</v>
      </c>
      <c r="I696" s="27">
        <v>334.43583333333333</v>
      </c>
    </row>
    <row r="697" spans="1:9" x14ac:dyDescent="0.2">
      <c r="A697" s="23">
        <v>45686.541666666664</v>
      </c>
      <c r="B697" s="25">
        <v>45686.541666666664</v>
      </c>
      <c r="C697" s="27">
        <v>0</v>
      </c>
      <c r="D697" s="27">
        <v>0</v>
      </c>
      <c r="E697" s="27">
        <v>8.3500003814697266</v>
      </c>
      <c r="F697" s="27">
        <v>0</v>
      </c>
      <c r="G697" s="27">
        <v>1780</v>
      </c>
      <c r="H697" s="27">
        <v>638.8508333333333</v>
      </c>
      <c r="I697" s="27">
        <v>4.4444444444444444E-3</v>
      </c>
    </row>
    <row r="698" spans="1:9" x14ac:dyDescent="0.2">
      <c r="A698" s="23">
        <v>45686.583333333336</v>
      </c>
      <c r="B698" s="25">
        <v>45686.583333333336</v>
      </c>
      <c r="C698" s="27">
        <v>142.20299992190468</v>
      </c>
      <c r="D698" s="27">
        <v>55.473443733106059</v>
      </c>
      <c r="E698" s="27">
        <v>8.8055000193913777</v>
      </c>
      <c r="F698" s="27">
        <v>1664.8766666666668</v>
      </c>
      <c r="G698" s="27">
        <v>1780</v>
      </c>
      <c r="H698" s="27">
        <v>643.35666666666668</v>
      </c>
      <c r="I698" s="27">
        <v>430.42527777777775</v>
      </c>
    </row>
    <row r="699" spans="1:9" x14ac:dyDescent="0.2">
      <c r="A699" s="23">
        <v>45686.625</v>
      </c>
      <c r="B699" s="25">
        <v>45686.625</v>
      </c>
      <c r="C699" s="27">
        <v>131.56425006018745</v>
      </c>
      <c r="D699" s="27">
        <v>52.085165996551517</v>
      </c>
      <c r="E699" s="27">
        <v>9.8145601232846573</v>
      </c>
      <c r="F699" s="27">
        <v>1564.93</v>
      </c>
      <c r="G699" s="27">
        <v>1780</v>
      </c>
      <c r="H699" s="27">
        <v>641.9755555555555</v>
      </c>
      <c r="I699" s="27">
        <v>404.03055555555557</v>
      </c>
    </row>
    <row r="700" spans="1:9" x14ac:dyDescent="0.2">
      <c r="A700" s="23">
        <v>45686.666666666664</v>
      </c>
      <c r="B700" s="25">
        <v>45686.666666666664</v>
      </c>
      <c r="C700" s="27">
        <v>45.31452775319417</v>
      </c>
      <c r="D700" s="27">
        <v>17.673777551518548</v>
      </c>
      <c r="E700" s="27">
        <v>10.261333019998338</v>
      </c>
      <c r="F700" s="27">
        <v>530.44861111111106</v>
      </c>
      <c r="G700" s="27">
        <v>1780</v>
      </c>
      <c r="H700" s="27">
        <v>644.32527777777773</v>
      </c>
      <c r="I700" s="27">
        <v>137.08805555555554</v>
      </c>
    </row>
    <row r="701" spans="1:9" x14ac:dyDescent="0.2">
      <c r="A701" s="23">
        <v>45686.708333333336</v>
      </c>
      <c r="B701" s="25">
        <v>45686.708333333336</v>
      </c>
      <c r="C701" s="27">
        <v>74.867750057644315</v>
      </c>
      <c r="D701" s="27">
        <v>29.446527399486964</v>
      </c>
      <c r="E701" s="27">
        <v>10.868319544792175</v>
      </c>
      <c r="F701" s="27">
        <v>883.7838888888889</v>
      </c>
      <c r="G701" s="27">
        <v>1780</v>
      </c>
      <c r="H701" s="27">
        <v>643.72194444444449</v>
      </c>
      <c r="I701" s="27">
        <v>228.46194444444444</v>
      </c>
    </row>
    <row r="702" spans="1:9" x14ac:dyDescent="0.2">
      <c r="A702" s="23">
        <v>45686.75</v>
      </c>
      <c r="B702" s="25">
        <v>45686.75</v>
      </c>
      <c r="C702" s="27">
        <v>127.65333342658148</v>
      </c>
      <c r="D702" s="27">
        <v>49.878610470427404</v>
      </c>
      <c r="E702" s="27">
        <v>11.393625075552199</v>
      </c>
      <c r="F702" s="27">
        <v>1497.1594444444445</v>
      </c>
      <c r="G702" s="27">
        <v>1780</v>
      </c>
      <c r="H702" s="27">
        <v>646.07861111111106</v>
      </c>
      <c r="I702" s="27">
        <v>387.05694444444447</v>
      </c>
    </row>
    <row r="703" spans="1:9" x14ac:dyDescent="0.2">
      <c r="A703" s="23">
        <v>45686.791666666664</v>
      </c>
      <c r="B703" s="25">
        <v>45686.791666666664</v>
      </c>
      <c r="C703" s="27">
        <v>142.38799987369114</v>
      </c>
      <c r="D703" s="27">
        <v>56.746804825464885</v>
      </c>
      <c r="E703" s="27">
        <v>12.39614815817939</v>
      </c>
      <c r="F703" s="27">
        <v>1703.2941666666666</v>
      </c>
      <c r="G703" s="27">
        <v>1780</v>
      </c>
      <c r="H703" s="27">
        <v>644.37138888888887</v>
      </c>
      <c r="I703" s="27">
        <v>440.36861111111114</v>
      </c>
    </row>
    <row r="704" spans="1:9" x14ac:dyDescent="0.2">
      <c r="A704" s="23">
        <v>45686.833333333336</v>
      </c>
      <c r="B704" s="25">
        <v>45686.833333333336</v>
      </c>
      <c r="C704" s="27">
        <v>0</v>
      </c>
      <c r="D704" s="27">
        <v>0</v>
      </c>
      <c r="E704" s="27">
        <v>12.850000381469727</v>
      </c>
      <c r="F704" s="27">
        <v>0</v>
      </c>
      <c r="G704" s="27">
        <v>1780</v>
      </c>
      <c r="H704" s="27">
        <v>640.75916666666672</v>
      </c>
      <c r="I704" s="27">
        <v>0</v>
      </c>
    </row>
    <row r="705" spans="1:9" x14ac:dyDescent="0.2">
      <c r="A705" s="23">
        <v>45686.875</v>
      </c>
      <c r="B705" s="25">
        <v>45686.875</v>
      </c>
      <c r="C705" s="27">
        <v>126.48775009579128</v>
      </c>
      <c r="D705" s="27">
        <v>51.155054899851478</v>
      </c>
      <c r="E705" s="27">
        <v>13.281101886961196</v>
      </c>
      <c r="F705" s="27">
        <v>1535.4369444444444</v>
      </c>
      <c r="G705" s="27">
        <v>1780</v>
      </c>
      <c r="H705" s="27">
        <v>647.63666666666666</v>
      </c>
      <c r="I705" s="27">
        <v>396.96111111111111</v>
      </c>
    </row>
    <row r="706" spans="1:9" x14ac:dyDescent="0.2">
      <c r="A706" s="23">
        <v>45686.916666666664</v>
      </c>
      <c r="B706" s="25">
        <v>45686.916666666664</v>
      </c>
      <c r="C706" s="27">
        <v>0</v>
      </c>
      <c r="D706" s="27">
        <v>0</v>
      </c>
      <c r="E706" s="27">
        <v>13.733333587646484</v>
      </c>
      <c r="F706" s="27">
        <v>0</v>
      </c>
      <c r="G706" s="27">
        <v>1780</v>
      </c>
      <c r="H706" s="27">
        <v>639.65305555555551</v>
      </c>
      <c r="I706" s="27">
        <v>0</v>
      </c>
    </row>
    <row r="707" spans="1:9" x14ac:dyDescent="0.2">
      <c r="A707" s="23">
        <v>45686.958333333336</v>
      </c>
      <c r="B707" s="25">
        <v>45686.958333333336</v>
      </c>
      <c r="C707" s="27">
        <v>14.54975000805325</v>
      </c>
      <c r="D707" s="27">
        <v>5.8961110381947623</v>
      </c>
      <c r="E707" s="27">
        <v>13.759421547783745</v>
      </c>
      <c r="F707" s="27">
        <v>176.98666666666668</v>
      </c>
      <c r="G707" s="27">
        <v>1780</v>
      </c>
      <c r="H707" s="27">
        <v>643.25694444444446</v>
      </c>
      <c r="I707" s="27">
        <v>45.780277777777776</v>
      </c>
    </row>
    <row r="708" spans="1:9" x14ac:dyDescent="0.2">
      <c r="A708" s="23">
        <v>45687</v>
      </c>
      <c r="B708" s="25">
        <v>45687</v>
      </c>
      <c r="C708" s="27">
        <v>0</v>
      </c>
      <c r="D708" s="27">
        <v>0</v>
      </c>
      <c r="E708" s="27">
        <v>13.850000381469727</v>
      </c>
      <c r="F708" s="27">
        <v>0</v>
      </c>
      <c r="G708" s="27">
        <v>1780</v>
      </c>
      <c r="H708" s="27">
        <v>642.85749999999996</v>
      </c>
      <c r="I708" s="27">
        <v>0</v>
      </c>
    </row>
    <row r="709" spans="1:9" x14ac:dyDescent="0.2">
      <c r="A709" s="23">
        <v>45687.041666666664</v>
      </c>
      <c r="B709" s="25">
        <v>45687.041666666664</v>
      </c>
      <c r="C709" s="27">
        <v>0</v>
      </c>
      <c r="D709" s="27">
        <v>0</v>
      </c>
      <c r="E709" s="27">
        <v>13.850000381469727</v>
      </c>
      <c r="F709" s="27">
        <v>0</v>
      </c>
      <c r="G709" s="27">
        <v>1780</v>
      </c>
      <c r="H709" s="27">
        <v>642.55583333333334</v>
      </c>
      <c r="I709" s="27">
        <v>8.8888888888888889E-3</v>
      </c>
    </row>
    <row r="710" spans="1:9" x14ac:dyDescent="0.2">
      <c r="A710" s="23">
        <v>45687.083333333336</v>
      </c>
      <c r="B710" s="25">
        <v>45687.083333333336</v>
      </c>
      <c r="C710" s="27">
        <v>0</v>
      </c>
      <c r="D710" s="27">
        <v>0</v>
      </c>
      <c r="E710" s="27">
        <v>13.850000381469727</v>
      </c>
      <c r="F710" s="27">
        <v>0</v>
      </c>
      <c r="G710" s="27">
        <v>1780</v>
      </c>
      <c r="H710" s="27">
        <v>641.45527777777772</v>
      </c>
      <c r="I710" s="27">
        <v>0</v>
      </c>
    </row>
    <row r="711" spans="1:9" x14ac:dyDescent="0.2">
      <c r="A711" s="23">
        <v>45687.125</v>
      </c>
      <c r="B711" s="25">
        <v>45687.125</v>
      </c>
      <c r="C711" s="27">
        <v>0</v>
      </c>
      <c r="D711" s="27">
        <v>0</v>
      </c>
      <c r="E711" s="27">
        <v>13.850000381469727</v>
      </c>
      <c r="F711" s="27">
        <v>0</v>
      </c>
      <c r="G711" s="27">
        <v>1780</v>
      </c>
      <c r="H711" s="27">
        <v>645.29472222222228</v>
      </c>
      <c r="I711" s="27">
        <v>0</v>
      </c>
    </row>
    <row r="712" spans="1:9" x14ac:dyDescent="0.2">
      <c r="A712" s="23">
        <v>45687.166666666664</v>
      </c>
      <c r="B712" s="25">
        <v>45687.166666666664</v>
      </c>
      <c r="C712" s="27">
        <v>0</v>
      </c>
      <c r="D712" s="27">
        <v>0</v>
      </c>
      <c r="E712" s="27">
        <v>13.850000381469727</v>
      </c>
      <c r="F712" s="27">
        <v>0</v>
      </c>
      <c r="G712" s="27">
        <v>1780</v>
      </c>
      <c r="H712" s="27">
        <v>645.60638888888889</v>
      </c>
      <c r="I712" s="27">
        <v>4.4444444444444444E-3</v>
      </c>
    </row>
    <row r="713" spans="1:9" x14ac:dyDescent="0.2">
      <c r="A713" s="23">
        <v>45687.208333333336</v>
      </c>
      <c r="B713" s="25">
        <v>45687.208333333336</v>
      </c>
      <c r="C713" s="27">
        <v>0</v>
      </c>
      <c r="D713" s="27">
        <v>0</v>
      </c>
      <c r="E713" s="27">
        <v>13.850000381469727</v>
      </c>
      <c r="F713" s="27">
        <v>0</v>
      </c>
      <c r="G713" s="27">
        <v>1780</v>
      </c>
      <c r="H713" s="27">
        <v>641.99416666666662</v>
      </c>
      <c r="I713" s="27">
        <v>4.4444444444444444E-3</v>
      </c>
    </row>
    <row r="714" spans="1:9" x14ac:dyDescent="0.2">
      <c r="A714" s="23">
        <v>45687.25</v>
      </c>
      <c r="B714" s="25">
        <v>45687.25</v>
      </c>
      <c r="C714" s="27">
        <v>0</v>
      </c>
      <c r="D714" s="27">
        <v>0</v>
      </c>
      <c r="E714" s="27">
        <v>13.850000381469727</v>
      </c>
      <c r="F714" s="27">
        <v>0</v>
      </c>
      <c r="G714" s="27">
        <v>1780</v>
      </c>
      <c r="H714" s="27">
        <v>640.69805555555558</v>
      </c>
      <c r="I714" s="27">
        <v>8.8888888888888889E-3</v>
      </c>
    </row>
    <row r="715" spans="1:9" x14ac:dyDescent="0.2">
      <c r="A715" s="23">
        <v>45687.291666666664</v>
      </c>
      <c r="B715" s="25">
        <v>45687.291666666664</v>
      </c>
      <c r="C715" s="27">
        <v>0</v>
      </c>
      <c r="D715" s="27">
        <v>0</v>
      </c>
      <c r="E715" s="27">
        <v>13.850000381469727</v>
      </c>
      <c r="F715" s="27">
        <v>0</v>
      </c>
      <c r="G715" s="27">
        <v>1780</v>
      </c>
      <c r="H715" s="27">
        <v>640.6925</v>
      </c>
      <c r="I715" s="27">
        <v>0</v>
      </c>
    </row>
    <row r="716" spans="1:9" x14ac:dyDescent="0.2">
      <c r="A716" s="23">
        <v>45687.333333333336</v>
      </c>
      <c r="B716" s="25">
        <v>45687.333333333336</v>
      </c>
      <c r="C716" s="27">
        <v>0</v>
      </c>
      <c r="D716" s="27">
        <v>0</v>
      </c>
      <c r="E716" s="27">
        <v>13.850000381469727</v>
      </c>
      <c r="F716" s="27">
        <v>0</v>
      </c>
      <c r="G716" s="27">
        <v>1780</v>
      </c>
      <c r="H716" s="27">
        <v>638.11694444444447</v>
      </c>
      <c r="I716" s="27">
        <v>4.4444444444444444E-3</v>
      </c>
    </row>
    <row r="717" spans="1:9" x14ac:dyDescent="0.2">
      <c r="A717" s="23">
        <v>45687.375</v>
      </c>
      <c r="B717" s="25">
        <v>45687.375</v>
      </c>
      <c r="C717" s="27">
        <v>0</v>
      </c>
      <c r="D717" s="27">
        <v>0</v>
      </c>
      <c r="E717" s="27">
        <v>13.850000381469727</v>
      </c>
      <c r="F717" s="27">
        <v>0</v>
      </c>
      <c r="G717" s="27">
        <v>1780</v>
      </c>
      <c r="H717" s="27">
        <v>641.78722222222223</v>
      </c>
      <c r="I717" s="27">
        <v>0</v>
      </c>
    </row>
    <row r="718" spans="1:9" x14ac:dyDescent="0.2">
      <c r="A718" s="23">
        <v>45687.416666666664</v>
      </c>
      <c r="B718" s="25">
        <v>45687.416666666664</v>
      </c>
      <c r="C718" s="27">
        <v>0</v>
      </c>
      <c r="D718" s="27">
        <v>0</v>
      </c>
      <c r="E718" s="27">
        <v>13.850000381469727</v>
      </c>
      <c r="F718" s="27">
        <v>0</v>
      </c>
      <c r="G718" s="27">
        <v>1780</v>
      </c>
      <c r="H718" s="27">
        <v>640.0913888888889</v>
      </c>
      <c r="I718" s="27">
        <v>0</v>
      </c>
    </row>
    <row r="719" spans="1:9" x14ac:dyDescent="0.2">
      <c r="A719" s="23">
        <v>45687.458333333336</v>
      </c>
      <c r="B719" s="25">
        <v>45687.458333333336</v>
      </c>
      <c r="C719" s="27">
        <v>0</v>
      </c>
      <c r="D719" s="27">
        <v>0</v>
      </c>
      <c r="E719" s="27">
        <v>13.850000381469727</v>
      </c>
      <c r="F719" s="27">
        <v>0</v>
      </c>
      <c r="G719" s="27">
        <v>1780</v>
      </c>
      <c r="H719" s="27">
        <v>639.46333333333337</v>
      </c>
      <c r="I719" s="27">
        <v>4.4444444444444444E-3</v>
      </c>
    </row>
    <row r="720" spans="1:9" x14ac:dyDescent="0.2">
      <c r="A720" s="23">
        <v>45687.5</v>
      </c>
      <c r="B720" s="25">
        <v>45687.5</v>
      </c>
      <c r="C720" s="27">
        <v>0</v>
      </c>
      <c r="D720" s="27">
        <v>0</v>
      </c>
      <c r="E720" s="27">
        <v>13.850000381469727</v>
      </c>
      <c r="F720" s="27">
        <v>0</v>
      </c>
      <c r="G720" s="27">
        <v>1780</v>
      </c>
      <c r="H720" s="27">
        <v>638.08444444444444</v>
      </c>
      <c r="I720" s="27">
        <v>0</v>
      </c>
    </row>
    <row r="721" spans="1:9" x14ac:dyDescent="0.2">
      <c r="A721" s="23">
        <v>45687.541666666664</v>
      </c>
      <c r="B721" s="25">
        <v>45687.541666666664</v>
      </c>
      <c r="C721" s="27">
        <v>0</v>
      </c>
      <c r="D721" s="27">
        <v>0</v>
      </c>
      <c r="E721" s="27">
        <v>13.850000381469727</v>
      </c>
      <c r="F721" s="27">
        <v>0</v>
      </c>
      <c r="G721" s="27">
        <v>1780</v>
      </c>
      <c r="H721" s="27">
        <v>640.71444444444444</v>
      </c>
      <c r="I721" s="27">
        <v>4.4444444444444444E-3</v>
      </c>
    </row>
    <row r="722" spans="1:9" x14ac:dyDescent="0.2">
      <c r="A722" s="23">
        <v>45687.583333333336</v>
      </c>
      <c r="B722" s="25">
        <v>45687.583333333336</v>
      </c>
      <c r="C722" s="27">
        <v>0</v>
      </c>
      <c r="D722" s="27">
        <v>0</v>
      </c>
      <c r="E722" s="27">
        <v>13.850000381469727</v>
      </c>
      <c r="F722" s="27">
        <v>0</v>
      </c>
      <c r="G722" s="27">
        <v>1780</v>
      </c>
      <c r="H722" s="27">
        <v>642.02361111111111</v>
      </c>
      <c r="I722" s="27">
        <v>4.4444444444444444E-3</v>
      </c>
    </row>
    <row r="723" spans="1:9" x14ac:dyDescent="0.2">
      <c r="A723" s="23">
        <v>45687.625</v>
      </c>
      <c r="B723" s="25">
        <v>45687.625</v>
      </c>
      <c r="C723" s="27">
        <v>0</v>
      </c>
      <c r="D723" s="27">
        <v>0</v>
      </c>
      <c r="E723" s="27">
        <v>13.850000381469727</v>
      </c>
      <c r="F723" s="27">
        <v>0</v>
      </c>
      <c r="G723" s="27">
        <v>1780</v>
      </c>
      <c r="H723" s="27">
        <v>638.60583333333329</v>
      </c>
      <c r="I723" s="27">
        <v>0</v>
      </c>
    </row>
    <row r="724" spans="1:9" x14ac:dyDescent="0.2">
      <c r="A724" s="23">
        <v>45687.666666666664</v>
      </c>
      <c r="B724" s="25">
        <v>45687.666666666664</v>
      </c>
      <c r="C724" s="27">
        <v>0</v>
      </c>
      <c r="D724" s="27">
        <v>0</v>
      </c>
      <c r="E724" s="27">
        <v>13.850000381469727</v>
      </c>
      <c r="F724" s="27">
        <v>0</v>
      </c>
      <c r="G724" s="27">
        <v>1780</v>
      </c>
      <c r="H724" s="27">
        <v>640.75555555555559</v>
      </c>
      <c r="I724" s="27">
        <v>4.4444444444444444E-3</v>
      </c>
    </row>
    <row r="725" spans="1:9" x14ac:dyDescent="0.2">
      <c r="A725" s="23">
        <v>45687.708333333336</v>
      </c>
      <c r="B725" s="25">
        <v>45687.708333333336</v>
      </c>
      <c r="C725" s="27">
        <v>0</v>
      </c>
      <c r="D725" s="27">
        <v>0</v>
      </c>
      <c r="E725" s="27">
        <v>13.850000381469727</v>
      </c>
      <c r="F725" s="27">
        <v>0</v>
      </c>
      <c r="G725" s="27">
        <v>1780</v>
      </c>
      <c r="H725" s="27">
        <v>643.0044444444444</v>
      </c>
      <c r="I725" s="27">
        <v>4.4444444444444444E-3</v>
      </c>
    </row>
    <row r="726" spans="1:9" x14ac:dyDescent="0.2">
      <c r="A726" s="23">
        <v>45687.75</v>
      </c>
      <c r="B726" s="25">
        <v>45687.75</v>
      </c>
      <c r="C726" s="27">
        <v>0</v>
      </c>
      <c r="D726" s="27">
        <v>0</v>
      </c>
      <c r="E726" s="27">
        <v>13.850000381469727</v>
      </c>
      <c r="F726" s="27">
        <v>0</v>
      </c>
      <c r="G726" s="27">
        <v>1780</v>
      </c>
      <c r="H726" s="27">
        <v>638.71749999999997</v>
      </c>
      <c r="I726" s="27">
        <v>0</v>
      </c>
    </row>
    <row r="727" spans="1:9" x14ac:dyDescent="0.2">
      <c r="A727" s="23">
        <v>45687.791666666664</v>
      </c>
      <c r="B727" s="25">
        <v>45687.791666666664</v>
      </c>
      <c r="C727" s="27">
        <v>0</v>
      </c>
      <c r="D727" s="27">
        <v>0</v>
      </c>
      <c r="E727" s="27">
        <v>13.850000381469727</v>
      </c>
      <c r="F727" s="27">
        <v>0</v>
      </c>
      <c r="G727" s="27">
        <v>1780</v>
      </c>
      <c r="H727" s="27">
        <v>641.6</v>
      </c>
      <c r="I727" s="27">
        <v>4.4444444444444444E-3</v>
      </c>
    </row>
    <row r="728" spans="1:9" x14ac:dyDescent="0.2">
      <c r="A728" s="23">
        <v>45687.833333333336</v>
      </c>
      <c r="B728" s="25">
        <v>45687.833333333336</v>
      </c>
      <c r="C728" s="27">
        <v>0</v>
      </c>
      <c r="D728" s="27">
        <v>0</v>
      </c>
      <c r="E728" s="27">
        <v>13.850000381469727</v>
      </c>
      <c r="F728" s="27">
        <v>0</v>
      </c>
      <c r="G728" s="27">
        <v>1780</v>
      </c>
      <c r="H728" s="27">
        <v>639.28305555555551</v>
      </c>
      <c r="I728" s="27">
        <v>0</v>
      </c>
    </row>
    <row r="729" spans="1:9" x14ac:dyDescent="0.2">
      <c r="A729" s="23">
        <v>45687.875</v>
      </c>
      <c r="B729" s="25">
        <v>45687.875</v>
      </c>
      <c r="C729" s="27">
        <v>0</v>
      </c>
      <c r="D729" s="27">
        <v>0</v>
      </c>
      <c r="E729" s="27">
        <v>13.850000381469727</v>
      </c>
      <c r="F729" s="27">
        <v>0</v>
      </c>
      <c r="G729" s="27">
        <v>1780</v>
      </c>
      <c r="H729" s="27">
        <v>641.20222222222219</v>
      </c>
      <c r="I729" s="27">
        <v>4.4444444444444444E-3</v>
      </c>
    </row>
    <row r="730" spans="1:9" x14ac:dyDescent="0.2">
      <c r="A730" s="23">
        <v>45687.916666666664</v>
      </c>
      <c r="B730" s="25">
        <v>45687.916666666664</v>
      </c>
      <c r="C730" s="27">
        <v>0</v>
      </c>
      <c r="D730" s="27">
        <v>0</v>
      </c>
      <c r="E730" s="27">
        <v>13.850000381469727</v>
      </c>
      <c r="F730" s="27">
        <v>0</v>
      </c>
      <c r="G730" s="27">
        <v>1780</v>
      </c>
      <c r="H730" s="27">
        <v>638.15166666666664</v>
      </c>
      <c r="I730" s="27">
        <v>8.8888888888888889E-3</v>
      </c>
    </row>
    <row r="731" spans="1:9" x14ac:dyDescent="0.2">
      <c r="A731" s="23">
        <v>45687.958333333336</v>
      </c>
      <c r="B731" s="25">
        <v>45687.958333333336</v>
      </c>
      <c r="C731" s="27">
        <v>0</v>
      </c>
      <c r="D731" s="27">
        <v>0</v>
      </c>
      <c r="E731" s="27">
        <v>13.850000381469727</v>
      </c>
      <c r="F731" s="27">
        <v>0</v>
      </c>
      <c r="G731" s="27">
        <v>1780</v>
      </c>
      <c r="H731" s="27">
        <v>642.01499999999999</v>
      </c>
      <c r="I731" s="27">
        <v>4.4444444444444444E-3</v>
      </c>
    </row>
    <row r="732" spans="1:9" x14ac:dyDescent="0.2">
      <c r="A732" s="23">
        <v>45688</v>
      </c>
      <c r="B732" s="25">
        <v>45688</v>
      </c>
      <c r="C732" s="27">
        <v>0</v>
      </c>
      <c r="D732" s="27">
        <v>0</v>
      </c>
      <c r="E732" s="27">
        <v>13.850000381469727</v>
      </c>
      <c r="F732" s="27">
        <v>0</v>
      </c>
      <c r="G732" s="27">
        <v>1780</v>
      </c>
      <c r="H732" s="27">
        <v>642.49138888888888</v>
      </c>
      <c r="I732" s="27">
        <v>8.8888888888888889E-3</v>
      </c>
    </row>
    <row r="733" spans="1:9" x14ac:dyDescent="0.2">
      <c r="A733" s="23" t="str">
        <v/>
      </c>
      <c r="B733" s="25" t="str">
        <v/>
      </c>
      <c r="C733" s="27" t="str">
        <v/>
      </c>
      <c r="D733" s="27" t="str">
        <v/>
      </c>
      <c r="E733" s="27" t="str">
        <v/>
      </c>
      <c r="F733" s="27" t="str">
        <v/>
      </c>
      <c r="G733" s="27" t="str">
        <v/>
      </c>
      <c r="H733" s="27" t="str">
        <v/>
      </c>
      <c r="I733" s="27" t="str">
        <v/>
      </c>
    </row>
    <row r="734" spans="1:9" x14ac:dyDescent="0.2">
      <c r="A734" s="23" t="str">
        <v/>
      </c>
      <c r="B734" s="25" t="str">
        <v/>
      </c>
      <c r="C734" s="27" t="str">
        <v/>
      </c>
      <c r="D734" s="27" t="str">
        <v/>
      </c>
      <c r="E734" s="27" t="str">
        <v/>
      </c>
      <c r="F734" s="27" t="str">
        <v/>
      </c>
      <c r="G734" s="27" t="str">
        <v/>
      </c>
      <c r="H734" s="27" t="str">
        <v/>
      </c>
      <c r="I734" s="27" t="str">
        <v/>
      </c>
    </row>
    <row r="735" spans="1:9" x14ac:dyDescent="0.2">
      <c r="A735" s="23" t="str">
        <v/>
      </c>
      <c r="B735" s="25" t="str">
        <v/>
      </c>
      <c r="C735" s="27" t="str">
        <v/>
      </c>
      <c r="D735" s="27" t="str">
        <v/>
      </c>
      <c r="E735" s="27" t="str">
        <v/>
      </c>
      <c r="F735" s="27" t="str">
        <v/>
      </c>
      <c r="G735" s="27" t="str">
        <v/>
      </c>
      <c r="H735" s="27" t="str">
        <v/>
      </c>
      <c r="I735" s="27" t="str">
        <v/>
      </c>
    </row>
    <row r="736" spans="1:9" x14ac:dyDescent="0.2">
      <c r="A736" s="23" t="str">
        <v/>
      </c>
      <c r="B736" s="25" t="str">
        <v/>
      </c>
      <c r="C736" s="27" t="str">
        <v/>
      </c>
      <c r="D736" s="27" t="str">
        <v/>
      </c>
      <c r="E736" s="27" t="str">
        <v/>
      </c>
      <c r="F736" s="27" t="str">
        <v/>
      </c>
      <c r="G736" s="27" t="str">
        <v/>
      </c>
      <c r="H736" s="27" t="str">
        <v/>
      </c>
      <c r="I736" s="27" t="str">
        <v/>
      </c>
    </row>
    <row r="737" spans="1:9" x14ac:dyDescent="0.2">
      <c r="A737" s="23" t="str">
        <v/>
      </c>
      <c r="B737" s="25" t="str">
        <v/>
      </c>
      <c r="C737" s="27" t="str">
        <v/>
      </c>
      <c r="D737" s="27" t="str">
        <v/>
      </c>
      <c r="E737" s="27" t="str">
        <v/>
      </c>
      <c r="F737" s="27" t="str">
        <v/>
      </c>
      <c r="G737" s="27" t="str">
        <v/>
      </c>
      <c r="H737" s="27" t="str">
        <v/>
      </c>
      <c r="I737" s="27" t="str">
        <v/>
      </c>
    </row>
    <row r="738" spans="1:9" x14ac:dyDescent="0.2">
      <c r="A738" s="23" t="str">
        <v/>
      </c>
      <c r="B738" s="25" t="str">
        <v/>
      </c>
      <c r="C738" s="27" t="str">
        <v/>
      </c>
      <c r="D738" s="27" t="str">
        <v/>
      </c>
      <c r="E738" s="27" t="str">
        <v/>
      </c>
      <c r="F738" s="27" t="str">
        <v/>
      </c>
      <c r="G738" s="27" t="str">
        <v/>
      </c>
      <c r="H738" s="27" t="str">
        <v/>
      </c>
      <c r="I738" s="27" t="str">
        <v/>
      </c>
    </row>
    <row r="739" spans="1:9" x14ac:dyDescent="0.2">
      <c r="A739" s="23" t="str">
        <v/>
      </c>
      <c r="B739" s="25" t="str">
        <v/>
      </c>
      <c r="C739" s="27" t="str">
        <v/>
      </c>
      <c r="D739" s="27" t="str">
        <v/>
      </c>
      <c r="E739" s="27" t="str">
        <v/>
      </c>
      <c r="F739" s="27" t="str">
        <v/>
      </c>
      <c r="G739" s="27" t="str">
        <v/>
      </c>
      <c r="H739" s="27" t="str">
        <v/>
      </c>
      <c r="I739" s="27" t="str">
        <v/>
      </c>
    </row>
    <row r="740" spans="1:9" x14ac:dyDescent="0.2">
      <c r="A740" s="23" t="str">
        <v/>
      </c>
      <c r="B740" s="25" t="str">
        <v/>
      </c>
      <c r="C740" s="27" t="str">
        <v/>
      </c>
      <c r="D740" s="27" t="str">
        <v/>
      </c>
      <c r="E740" s="27" t="str">
        <v/>
      </c>
      <c r="F740" s="27" t="str">
        <v/>
      </c>
      <c r="G740" s="27" t="str">
        <v/>
      </c>
      <c r="H740" s="27" t="str">
        <v/>
      </c>
      <c r="I740" s="27" t="str">
        <v/>
      </c>
    </row>
    <row r="741" spans="1:9" x14ac:dyDescent="0.2">
      <c r="A741" s="23" t="str">
        <v/>
      </c>
      <c r="B741" s="25" t="str">
        <v/>
      </c>
      <c r="C741" s="27" t="str">
        <v/>
      </c>
      <c r="D741" s="27" t="str">
        <v/>
      </c>
      <c r="E741" s="27" t="str">
        <v/>
      </c>
      <c r="F741" s="27" t="str">
        <v/>
      </c>
      <c r="G741" s="27" t="str">
        <v/>
      </c>
      <c r="H741" s="27" t="str">
        <v/>
      </c>
      <c r="I741" s="27" t="str">
        <v/>
      </c>
    </row>
    <row r="742" spans="1:9" x14ac:dyDescent="0.2">
      <c r="A742" s="23" t="str">
        <v/>
      </c>
      <c r="B742" s="25" t="str">
        <v/>
      </c>
      <c r="C742" s="27" t="str">
        <v/>
      </c>
      <c r="D742" s="27" t="str">
        <v/>
      </c>
      <c r="E742" s="27" t="str">
        <v/>
      </c>
      <c r="F742" s="27" t="str">
        <v/>
      </c>
      <c r="G742" s="27" t="str">
        <v/>
      </c>
      <c r="H742" s="27" t="str">
        <v/>
      </c>
      <c r="I742" s="27" t="str">
        <v/>
      </c>
    </row>
    <row r="743" spans="1:9" x14ac:dyDescent="0.2">
      <c r="A743" s="23" t="str">
        <v/>
      </c>
      <c r="B743" s="25" t="str">
        <v/>
      </c>
      <c r="C743" s="27" t="str">
        <v/>
      </c>
      <c r="D743" s="27" t="str">
        <v/>
      </c>
      <c r="E743" s="27" t="str">
        <v/>
      </c>
      <c r="F743" s="27" t="str">
        <v/>
      </c>
      <c r="G743" s="27" t="str">
        <v/>
      </c>
      <c r="H743" s="27" t="str">
        <v/>
      </c>
      <c r="I743" s="27" t="str">
        <v/>
      </c>
    </row>
    <row r="744" spans="1:9" x14ac:dyDescent="0.2">
      <c r="A744" s="23" t="str">
        <v/>
      </c>
      <c r="B744" s="25" t="str">
        <v/>
      </c>
      <c r="C744" s="27" t="str">
        <v/>
      </c>
      <c r="D744" s="27" t="str">
        <v/>
      </c>
      <c r="E744" s="27" t="str">
        <v/>
      </c>
      <c r="F744" s="27" t="str">
        <v/>
      </c>
      <c r="G744" s="27" t="str">
        <v/>
      </c>
      <c r="H744" s="27" t="str">
        <v/>
      </c>
      <c r="I744" s="27" t="str">
        <v/>
      </c>
    </row>
    <row r="745" spans="1:9" x14ac:dyDescent="0.2">
      <c r="A745" s="23" t="str">
        <v/>
      </c>
      <c r="B745" s="25" t="str">
        <v/>
      </c>
      <c r="C745" s="27" t="str">
        <v/>
      </c>
      <c r="D745" s="27" t="str">
        <v/>
      </c>
      <c r="E745" s="27" t="str">
        <v/>
      </c>
      <c r="F745" s="27" t="str">
        <v/>
      </c>
      <c r="G745" s="27" t="str">
        <v/>
      </c>
      <c r="H745" s="27" t="str">
        <v/>
      </c>
      <c r="I745" s="27" t="str">
        <v/>
      </c>
    </row>
    <row r="746" spans="1:9" x14ac:dyDescent="0.2">
      <c r="A746" s="23" t="str">
        <v/>
      </c>
      <c r="B746" s="25" t="str">
        <v/>
      </c>
      <c r="C746" s="27" t="str">
        <v/>
      </c>
      <c r="D746" s="27" t="str">
        <v/>
      </c>
      <c r="E746" s="27" t="str">
        <v/>
      </c>
      <c r="F746" s="27" t="str">
        <v/>
      </c>
      <c r="G746" s="27" t="str">
        <v/>
      </c>
      <c r="H746" s="27" t="str">
        <v/>
      </c>
      <c r="I746" s="27" t="str">
        <v/>
      </c>
    </row>
    <row r="747" spans="1:9" x14ac:dyDescent="0.2">
      <c r="A747" s="23" t="str">
        <v/>
      </c>
      <c r="B747" s="25" t="str">
        <v/>
      </c>
      <c r="C747" s="27" t="str">
        <v/>
      </c>
      <c r="D747" s="27" t="str">
        <v/>
      </c>
      <c r="E747" s="27" t="str">
        <v/>
      </c>
      <c r="F747" s="27" t="str">
        <v/>
      </c>
      <c r="G747" s="27" t="str">
        <v/>
      </c>
      <c r="H747" s="27" t="str">
        <v/>
      </c>
      <c r="I747" s="27" t="str">
        <v/>
      </c>
    </row>
    <row r="748" spans="1:9" x14ac:dyDescent="0.2">
      <c r="A748" s="23" t="str">
        <v/>
      </c>
      <c r="B748" s="25" t="str">
        <v/>
      </c>
      <c r="C748" s="27" t="str">
        <v/>
      </c>
      <c r="D748" s="27" t="str">
        <v/>
      </c>
      <c r="E748" s="27" t="str">
        <v/>
      </c>
      <c r="F748" s="27" t="str">
        <v/>
      </c>
      <c r="G748" s="27" t="str">
        <v/>
      </c>
      <c r="H748" s="27" t="str">
        <v/>
      </c>
      <c r="I748" s="27" t="str">
        <v/>
      </c>
    </row>
    <row r="749" spans="1:9" x14ac:dyDescent="0.2">
      <c r="A749" s="23" t="str">
        <v/>
      </c>
      <c r="B749" s="25" t="str">
        <v/>
      </c>
      <c r="C749" s="27" t="str">
        <v/>
      </c>
      <c r="D749" s="27" t="str">
        <v/>
      </c>
      <c r="E749" s="27" t="str">
        <v/>
      </c>
      <c r="F749" s="27" t="str">
        <v/>
      </c>
      <c r="G749" s="27" t="str">
        <v/>
      </c>
      <c r="H749" s="27" t="str">
        <v/>
      </c>
      <c r="I749" s="27" t="str">
        <v/>
      </c>
    </row>
    <row r="750" spans="1:9" x14ac:dyDescent="0.2">
      <c r="A750" s="23" t="str">
        <v/>
      </c>
      <c r="B750" s="25" t="str">
        <v/>
      </c>
      <c r="C750" s="27" t="str">
        <v/>
      </c>
      <c r="D750" s="27" t="str">
        <v/>
      </c>
      <c r="E750" s="27" t="str">
        <v/>
      </c>
      <c r="F750" s="27" t="str">
        <v/>
      </c>
      <c r="G750" s="27" t="str">
        <v/>
      </c>
      <c r="H750" s="27" t="str">
        <v/>
      </c>
      <c r="I750" s="27" t="str">
        <v/>
      </c>
    </row>
    <row r="751" spans="1:9" x14ac:dyDescent="0.2">
      <c r="A751" s="23" t="str">
        <v/>
      </c>
      <c r="B751" s="25" t="str">
        <v/>
      </c>
      <c r="C751" s="27" t="str">
        <v/>
      </c>
      <c r="D751" s="27" t="str">
        <v/>
      </c>
      <c r="E751" s="27" t="str">
        <v/>
      </c>
      <c r="F751" s="27" t="str">
        <v/>
      </c>
      <c r="G751" s="27" t="str">
        <v/>
      </c>
      <c r="H751" s="27" t="str">
        <v/>
      </c>
      <c r="I751" s="27" t="str">
        <v/>
      </c>
    </row>
    <row r="752" spans="1:9" x14ac:dyDescent="0.2">
      <c r="A752" s="23" t="str">
        <v/>
      </c>
      <c r="B752" s="25" t="str">
        <v/>
      </c>
      <c r="C752" s="27" t="str">
        <v/>
      </c>
      <c r="D752" s="27" t="str">
        <v/>
      </c>
      <c r="E752" s="27" t="str">
        <v/>
      </c>
      <c r="F752" s="27" t="str">
        <v/>
      </c>
      <c r="G752" s="27" t="str">
        <v/>
      </c>
      <c r="H752" s="27" t="str">
        <v/>
      </c>
      <c r="I752" s="27" t="str">
        <v/>
      </c>
    </row>
    <row r="753" spans="1:9" x14ac:dyDescent="0.2">
      <c r="A753" s="23" t="str">
        <v/>
      </c>
      <c r="B753" s="25" t="str">
        <v/>
      </c>
      <c r="C753" s="27" t="str">
        <v/>
      </c>
      <c r="D753" s="27" t="str">
        <v/>
      </c>
      <c r="E753" s="27" t="str">
        <v/>
      </c>
      <c r="F753" s="27" t="str">
        <v/>
      </c>
      <c r="G753" s="27" t="str">
        <v/>
      </c>
      <c r="H753" s="27" t="str">
        <v/>
      </c>
      <c r="I753" s="27" t="str">
        <v/>
      </c>
    </row>
    <row r="754" spans="1:9" x14ac:dyDescent="0.2">
      <c r="A754" s="23" t="str">
        <v/>
      </c>
      <c r="B754" s="25" t="str">
        <v/>
      </c>
      <c r="C754" s="27" t="str">
        <v/>
      </c>
      <c r="D754" s="27" t="str">
        <v/>
      </c>
      <c r="E754" s="27" t="str">
        <v/>
      </c>
      <c r="F754" s="27" t="str">
        <v/>
      </c>
      <c r="G754" s="27" t="str">
        <v/>
      </c>
      <c r="H754" s="27" t="str">
        <v/>
      </c>
      <c r="I754" s="27" t="str">
        <v/>
      </c>
    </row>
    <row r="755" spans="1:9" x14ac:dyDescent="0.2">
      <c r="A755" s="23" t="str">
        <v/>
      </c>
      <c r="B755" s="25" t="str">
        <v/>
      </c>
      <c r="C755" s="27" t="str">
        <v/>
      </c>
      <c r="D755" s="27" t="str">
        <v/>
      </c>
      <c r="E755" s="27" t="str">
        <v/>
      </c>
      <c r="F755" s="27" t="str">
        <v/>
      </c>
      <c r="G755" s="27" t="str">
        <v/>
      </c>
      <c r="H755" s="27" t="str">
        <v/>
      </c>
      <c r="I755" s="27" t="str">
        <v/>
      </c>
    </row>
    <row r="756" spans="1:9" x14ac:dyDescent="0.2">
      <c r="A756" s="23" t="str">
        <v/>
      </c>
      <c r="B756" s="25" t="str">
        <v/>
      </c>
      <c r="C756" s="27" t="str">
        <v/>
      </c>
      <c r="D756" s="27" t="str">
        <v/>
      </c>
      <c r="E756" s="27" t="str">
        <v/>
      </c>
      <c r="F756" s="27" t="str">
        <v/>
      </c>
      <c r="G756" s="27" t="str">
        <v/>
      </c>
      <c r="H756" s="27" t="str">
        <v/>
      </c>
      <c r="I756" s="27" t="str">
        <v/>
      </c>
    </row>
    <row r="757" spans="1:9" x14ac:dyDescent="0.2">
      <c r="A757" s="23" t="str">
        <v/>
      </c>
      <c r="B757" s="25" t="str">
        <v/>
      </c>
      <c r="C757" s="27" t="str">
        <v/>
      </c>
      <c r="D757" s="27" t="str">
        <v/>
      </c>
      <c r="E757" s="27" t="str">
        <v/>
      </c>
      <c r="F757" s="27" t="str">
        <v/>
      </c>
      <c r="G757" s="27" t="str">
        <v/>
      </c>
      <c r="H757" s="27" t="str">
        <v/>
      </c>
      <c r="I757" s="27" t="str">
        <v/>
      </c>
    </row>
    <row r="758" spans="1:9" x14ac:dyDescent="0.2">
      <c r="A758" s="23" t="str">
        <v/>
      </c>
      <c r="B758" s="25" t="str">
        <v/>
      </c>
      <c r="C758" s="27" t="str">
        <v/>
      </c>
      <c r="D758" s="27" t="str">
        <v/>
      </c>
      <c r="E758" s="27" t="str">
        <v/>
      </c>
      <c r="F758" s="27" t="str">
        <v/>
      </c>
      <c r="G758" s="27" t="str">
        <v/>
      </c>
      <c r="H758" s="27" t="str">
        <v/>
      </c>
      <c r="I758" s="27" t="str">
        <v/>
      </c>
    </row>
    <row r="759" spans="1:9" x14ac:dyDescent="0.2">
      <c r="A759" s="23" t="str">
        <v/>
      </c>
      <c r="B759" s="25" t="str">
        <v/>
      </c>
      <c r="C759" s="27" t="str">
        <v/>
      </c>
      <c r="D759" s="27" t="str">
        <v/>
      </c>
      <c r="E759" s="27" t="str">
        <v/>
      </c>
      <c r="F759" s="27" t="str">
        <v/>
      </c>
      <c r="G759" s="27" t="str">
        <v/>
      </c>
      <c r="H759" s="27" t="str">
        <v/>
      </c>
      <c r="I759" s="27" t="str">
        <v/>
      </c>
    </row>
    <row r="760" spans="1:9" x14ac:dyDescent="0.2">
      <c r="A760" s="23" t="str">
        <v/>
      </c>
      <c r="B760" s="25" t="str">
        <v/>
      </c>
      <c r="C760" s="27" t="str">
        <v/>
      </c>
      <c r="D760" s="27" t="str">
        <v/>
      </c>
      <c r="E760" s="27" t="str">
        <v/>
      </c>
      <c r="F760" s="27" t="str">
        <v/>
      </c>
      <c r="G760" s="27" t="str">
        <v/>
      </c>
      <c r="H760" s="27" t="str">
        <v/>
      </c>
      <c r="I760" s="27" t="str">
        <v/>
      </c>
    </row>
    <row r="761" spans="1:9" x14ac:dyDescent="0.2">
      <c r="A761" s="23" t="str">
        <v/>
      </c>
      <c r="B761" s="25" t="str">
        <v/>
      </c>
      <c r="C761" s="27" t="str">
        <v/>
      </c>
      <c r="D761" s="27" t="str">
        <v/>
      </c>
      <c r="E761" s="27" t="str">
        <v/>
      </c>
      <c r="F761" s="27" t="str">
        <v/>
      </c>
      <c r="G761" s="27" t="str">
        <v/>
      </c>
      <c r="H761" s="27" t="str">
        <v/>
      </c>
      <c r="I761" s="27" t="str">
        <v/>
      </c>
    </row>
    <row r="762" spans="1:9" x14ac:dyDescent="0.2">
      <c r="A762" s="23" t="str">
        <v/>
      </c>
      <c r="B762" s="25" t="str">
        <v/>
      </c>
      <c r="C762" s="27" t="str">
        <v/>
      </c>
      <c r="D762" s="27" t="str">
        <v/>
      </c>
      <c r="E762" s="27" t="str">
        <v/>
      </c>
      <c r="F762" s="27" t="str">
        <v/>
      </c>
      <c r="G762" s="27" t="str">
        <v/>
      </c>
      <c r="H762" s="27" t="str">
        <v/>
      </c>
      <c r="I762" s="27" t="str">
        <v/>
      </c>
    </row>
    <row r="763" spans="1:9" x14ac:dyDescent="0.2">
      <c r="A763" s="23" t="str">
        <v/>
      </c>
      <c r="B763" s="25" t="str">
        <v/>
      </c>
      <c r="C763" s="27" t="str">
        <v/>
      </c>
      <c r="D763" s="27" t="str">
        <v/>
      </c>
      <c r="E763" s="27" t="str">
        <v/>
      </c>
      <c r="F763" s="27" t="str">
        <v/>
      </c>
      <c r="G763" s="27" t="str">
        <v/>
      </c>
      <c r="H763" s="27" t="str">
        <v/>
      </c>
      <c r="I763" s="27" t="str">
        <v/>
      </c>
    </row>
    <row r="764" spans="1:9" x14ac:dyDescent="0.2">
      <c r="A764" s="23" t="str">
        <v/>
      </c>
      <c r="B764" s="25" t="str">
        <v/>
      </c>
      <c r="C764" s="27" t="str">
        <v/>
      </c>
      <c r="D764" s="27" t="str">
        <v/>
      </c>
      <c r="E764" s="27" t="str">
        <v/>
      </c>
      <c r="F764" s="27" t="str">
        <v/>
      </c>
      <c r="G764" s="27" t="str">
        <v/>
      </c>
      <c r="H764" s="27" t="str">
        <v/>
      </c>
      <c r="I764" s="27" t="str">
        <v/>
      </c>
    </row>
    <row r="765" spans="1:9" x14ac:dyDescent="0.2">
      <c r="A765" s="23" t="str">
        <v/>
      </c>
      <c r="B765" s="25" t="str">
        <v/>
      </c>
      <c r="C765" s="27" t="str">
        <v/>
      </c>
      <c r="D765" s="27" t="str">
        <v/>
      </c>
      <c r="E765" s="27" t="str">
        <v/>
      </c>
      <c r="F765" s="27" t="str">
        <v/>
      </c>
      <c r="G765" s="27" t="str">
        <v/>
      </c>
      <c r="H765" s="27" t="str">
        <v/>
      </c>
      <c r="I765" s="27" t="str">
        <v/>
      </c>
    </row>
    <row r="766" spans="1:9" x14ac:dyDescent="0.2">
      <c r="A766" s="23" t="str">
        <v/>
      </c>
      <c r="B766" s="25" t="str">
        <v/>
      </c>
      <c r="C766" s="27" t="str">
        <v/>
      </c>
      <c r="D766" s="27" t="str">
        <v/>
      </c>
      <c r="E766" s="27" t="str">
        <v/>
      </c>
      <c r="F766" s="27" t="str">
        <v/>
      </c>
      <c r="G766" s="27" t="str">
        <v/>
      </c>
      <c r="H766" s="27" t="str">
        <v/>
      </c>
      <c r="I766" s="27" t="str">
        <v/>
      </c>
    </row>
    <row r="767" spans="1:9" x14ac:dyDescent="0.2">
      <c r="A767" s="23" t="str">
        <v/>
      </c>
      <c r="B767" s="25" t="str">
        <v/>
      </c>
      <c r="C767" s="27" t="str">
        <v/>
      </c>
      <c r="D767" s="27" t="str">
        <v/>
      </c>
      <c r="E767" s="27" t="str">
        <v/>
      </c>
      <c r="F767" s="27" t="str">
        <v/>
      </c>
      <c r="G767" s="27" t="str">
        <v/>
      </c>
      <c r="H767" s="27" t="str">
        <v/>
      </c>
      <c r="I767" s="27" t="str">
        <v/>
      </c>
    </row>
    <row r="768" spans="1:9" x14ac:dyDescent="0.2">
      <c r="A768" s="23" t="str">
        <v/>
      </c>
      <c r="B768" s="25" t="str">
        <v/>
      </c>
      <c r="C768" s="27" t="str">
        <v/>
      </c>
      <c r="D768" s="27" t="str">
        <v/>
      </c>
      <c r="E768" s="27" t="str">
        <v/>
      </c>
      <c r="F768" s="27" t="str">
        <v/>
      </c>
      <c r="G768" s="27" t="str">
        <v/>
      </c>
      <c r="H768" s="27" t="str">
        <v/>
      </c>
      <c r="I768" s="27" t="str">
        <v/>
      </c>
    </row>
    <row r="769" spans="1:9" x14ac:dyDescent="0.2">
      <c r="A769" s="23" t="str">
        <v/>
      </c>
      <c r="B769" s="25" t="str">
        <v/>
      </c>
      <c r="C769" s="27" t="str">
        <v/>
      </c>
      <c r="D769" s="27" t="str">
        <v/>
      </c>
      <c r="E769" s="27" t="str">
        <v/>
      </c>
      <c r="F769" s="27" t="str">
        <v/>
      </c>
      <c r="G769" s="27" t="str">
        <v/>
      </c>
      <c r="H769" s="27" t="str">
        <v/>
      </c>
      <c r="I769" s="27" t="str">
        <v/>
      </c>
    </row>
    <row r="770" spans="1:9" x14ac:dyDescent="0.2">
      <c r="A770" s="23" t="str">
        <v/>
      </c>
      <c r="B770" s="25" t="str">
        <v/>
      </c>
      <c r="C770" s="27" t="str">
        <v/>
      </c>
      <c r="D770" s="27" t="str">
        <v/>
      </c>
      <c r="E770" s="27" t="str">
        <v/>
      </c>
      <c r="F770" s="27" t="str">
        <v/>
      </c>
      <c r="G770" s="27" t="str">
        <v/>
      </c>
      <c r="H770" s="27" t="str">
        <v/>
      </c>
      <c r="I770" s="27" t="str">
        <v/>
      </c>
    </row>
    <row r="771" spans="1:9" x14ac:dyDescent="0.2">
      <c r="A771" s="23" t="str">
        <v/>
      </c>
      <c r="B771" s="25" t="str">
        <v/>
      </c>
      <c r="C771" s="27" t="str">
        <v/>
      </c>
      <c r="D771" s="27" t="str">
        <v/>
      </c>
      <c r="E771" s="27" t="str">
        <v/>
      </c>
      <c r="F771" s="27" t="str">
        <v/>
      </c>
      <c r="G771" s="27" t="str">
        <v/>
      </c>
      <c r="H771" s="27" t="str">
        <v/>
      </c>
      <c r="I771" s="27" t="str">
        <v/>
      </c>
    </row>
    <row r="772" spans="1:9" x14ac:dyDescent="0.2">
      <c r="A772" s="23" t="str">
        <v/>
      </c>
      <c r="B772" s="25" t="str">
        <v/>
      </c>
      <c r="C772" s="27" t="str">
        <v/>
      </c>
      <c r="D772" s="27" t="str">
        <v/>
      </c>
      <c r="E772" s="27" t="str">
        <v/>
      </c>
      <c r="F772" s="27" t="str">
        <v/>
      </c>
      <c r="G772" s="27" t="str">
        <v/>
      </c>
      <c r="H772" s="27" t="str">
        <v/>
      </c>
      <c r="I772" s="27" t="str">
        <v/>
      </c>
    </row>
    <row r="773" spans="1:9" x14ac:dyDescent="0.2">
      <c r="A773" s="23" t="str">
        <v/>
      </c>
      <c r="B773" s="25" t="str">
        <v/>
      </c>
      <c r="C773" s="27" t="str">
        <v/>
      </c>
      <c r="D773" s="27" t="str">
        <v/>
      </c>
      <c r="E773" s="27" t="str">
        <v/>
      </c>
      <c r="F773" s="27" t="str">
        <v/>
      </c>
      <c r="G773" s="27" t="str">
        <v/>
      </c>
      <c r="H773" s="27" t="str">
        <v/>
      </c>
      <c r="I773" s="27" t="str">
        <v/>
      </c>
    </row>
    <row r="774" spans="1:9" x14ac:dyDescent="0.2">
      <c r="A774" s="23" t="str">
        <v/>
      </c>
      <c r="B774" s="25" t="str">
        <v/>
      </c>
      <c r="C774" s="27" t="str">
        <v/>
      </c>
      <c r="D774" s="27" t="str">
        <v/>
      </c>
      <c r="E774" s="27" t="str">
        <v/>
      </c>
      <c r="F774" s="27" t="str">
        <v/>
      </c>
      <c r="G774" s="27" t="str">
        <v/>
      </c>
      <c r="H774" s="27" t="str">
        <v/>
      </c>
      <c r="I774" s="27" t="str">
        <v/>
      </c>
    </row>
    <row r="775" spans="1:9" x14ac:dyDescent="0.2">
      <c r="A775" s="23" t="str">
        <v/>
      </c>
      <c r="B775" s="25" t="str">
        <v/>
      </c>
      <c r="C775" s="27" t="str">
        <v/>
      </c>
      <c r="D775" s="27" t="str">
        <v/>
      </c>
      <c r="E775" s="27" t="str">
        <v/>
      </c>
      <c r="F775" s="27" t="str">
        <v/>
      </c>
      <c r="G775" s="27" t="str">
        <v/>
      </c>
      <c r="H775" s="27" t="str">
        <v/>
      </c>
      <c r="I775" s="27" t="str">
        <v/>
      </c>
    </row>
    <row r="776" spans="1:9" x14ac:dyDescent="0.2">
      <c r="A776" s="23" t="str">
        <v/>
      </c>
      <c r="B776" s="25" t="str">
        <v/>
      </c>
      <c r="C776" s="27" t="str">
        <v/>
      </c>
      <c r="D776" s="27" t="str">
        <v/>
      </c>
      <c r="E776" s="27" t="str">
        <v/>
      </c>
      <c r="F776" s="27" t="str">
        <v/>
      </c>
      <c r="G776" s="27" t="str">
        <v/>
      </c>
      <c r="H776" s="27" t="str">
        <v/>
      </c>
      <c r="I776" s="27" t="str">
        <v/>
      </c>
    </row>
    <row r="777" spans="1:9" x14ac:dyDescent="0.2">
      <c r="A777" s="23" t="str">
        <v/>
      </c>
      <c r="B777" s="25" t="str">
        <v/>
      </c>
      <c r="C777" s="27" t="str">
        <v/>
      </c>
      <c r="D777" s="27" t="str">
        <v/>
      </c>
      <c r="E777" s="27" t="str">
        <v/>
      </c>
      <c r="F777" s="27" t="str">
        <v/>
      </c>
      <c r="G777" s="27" t="str">
        <v/>
      </c>
      <c r="H777" s="27" t="str">
        <v/>
      </c>
      <c r="I777" s="27" t="str">
        <v/>
      </c>
    </row>
    <row r="778" spans="1:9" x14ac:dyDescent="0.2">
      <c r="A778" s="23" t="str">
        <v/>
      </c>
      <c r="B778" s="25" t="str">
        <v/>
      </c>
      <c r="C778" s="27" t="str">
        <v/>
      </c>
      <c r="D778" s="27" t="str">
        <v/>
      </c>
      <c r="E778" s="27" t="str">
        <v/>
      </c>
      <c r="F778" s="27" t="str">
        <v/>
      </c>
      <c r="G778" s="27" t="str">
        <v/>
      </c>
      <c r="H778" s="27" t="str">
        <v/>
      </c>
      <c r="I778" s="27" t="str">
        <v/>
      </c>
    </row>
    <row r="779" spans="1:9" x14ac:dyDescent="0.2">
      <c r="A779" s="23" t="str">
        <v/>
      </c>
      <c r="B779" s="25" t="str">
        <v/>
      </c>
      <c r="C779" s="27" t="str">
        <v/>
      </c>
      <c r="D779" s="27" t="str">
        <v/>
      </c>
      <c r="E779" s="27" t="str">
        <v/>
      </c>
      <c r="F779" s="27" t="str">
        <v/>
      </c>
      <c r="G779" s="27" t="str">
        <v/>
      </c>
      <c r="H779" s="27" t="str">
        <v/>
      </c>
      <c r="I779" s="27" t="str">
        <v/>
      </c>
    </row>
    <row r="780" spans="1:9" x14ac:dyDescent="0.2">
      <c r="A780" s="23" t="str">
        <v/>
      </c>
      <c r="B780" s="25" t="str">
        <v/>
      </c>
      <c r="C780" s="27" t="str">
        <v/>
      </c>
      <c r="D780" s="27" t="str">
        <v/>
      </c>
      <c r="E780" s="27" t="str">
        <v/>
      </c>
      <c r="F780" s="27" t="str">
        <v/>
      </c>
      <c r="G780" s="27" t="str">
        <v/>
      </c>
      <c r="H780" s="27" t="str">
        <v/>
      </c>
      <c r="I780" s="27" t="str">
        <v/>
      </c>
    </row>
    <row r="781" spans="1:9" x14ac:dyDescent="0.2">
      <c r="A781" s="23" t="str">
        <v/>
      </c>
      <c r="B781" s="25" t="str">
        <v/>
      </c>
      <c r="C781" s="27" t="str">
        <v/>
      </c>
      <c r="D781" s="27" t="str">
        <v/>
      </c>
      <c r="E781" s="27" t="str">
        <v/>
      </c>
      <c r="F781" s="27" t="str">
        <v/>
      </c>
      <c r="G781" s="27" t="str">
        <v/>
      </c>
      <c r="H781" s="27" t="str">
        <v/>
      </c>
      <c r="I781" s="27" t="str">
        <v/>
      </c>
    </row>
    <row r="782" spans="1:9" x14ac:dyDescent="0.2">
      <c r="A782" s="23" t="str">
        <v/>
      </c>
      <c r="B782" s="25" t="str">
        <v/>
      </c>
      <c r="C782" s="27" t="str">
        <v/>
      </c>
      <c r="D782" s="27" t="str">
        <v/>
      </c>
      <c r="E782" s="27" t="str">
        <v/>
      </c>
      <c r="F782" s="27" t="str">
        <v/>
      </c>
      <c r="G782" s="27" t="str">
        <v/>
      </c>
      <c r="H782" s="27" t="str">
        <v/>
      </c>
      <c r="I782" s="27" t="str">
        <v/>
      </c>
    </row>
    <row r="783" spans="1:9" x14ac:dyDescent="0.2">
      <c r="A783" s="23" t="str">
        <v/>
      </c>
      <c r="B783" s="25" t="str">
        <v/>
      </c>
      <c r="C783" s="27" t="str">
        <v/>
      </c>
      <c r="D783" s="27" t="str">
        <v/>
      </c>
      <c r="E783" s="27" t="str">
        <v/>
      </c>
      <c r="F783" s="27" t="str">
        <v/>
      </c>
      <c r="G783" s="27" t="str">
        <v/>
      </c>
      <c r="H783" s="27" t="str">
        <v/>
      </c>
      <c r="I783" s="27" t="str">
        <v/>
      </c>
    </row>
    <row r="784" spans="1:9" x14ac:dyDescent="0.2">
      <c r="A784" s="23" t="str">
        <v/>
      </c>
      <c r="B784" s="25" t="str">
        <v/>
      </c>
      <c r="C784" s="27" t="str">
        <v/>
      </c>
      <c r="D784" s="27" t="str">
        <v/>
      </c>
      <c r="E784" s="27" t="str">
        <v/>
      </c>
      <c r="F784" s="27" t="str">
        <v/>
      </c>
      <c r="G784" s="27" t="str">
        <v/>
      </c>
      <c r="H784" s="27" t="str">
        <v/>
      </c>
      <c r="I784" s="27" t="str">
        <v/>
      </c>
    </row>
    <row r="785" spans="1:9" x14ac:dyDescent="0.2">
      <c r="A785" s="23" t="str">
        <v/>
      </c>
      <c r="B785" s="25" t="str">
        <v/>
      </c>
      <c r="C785" s="27" t="str">
        <v/>
      </c>
      <c r="D785" s="27" t="str">
        <v/>
      </c>
      <c r="E785" s="27" t="str">
        <v/>
      </c>
      <c r="F785" s="27" t="str">
        <v/>
      </c>
      <c r="G785" s="27" t="str">
        <v/>
      </c>
      <c r="H785" s="27" t="str">
        <v/>
      </c>
      <c r="I785" s="27" t="str">
        <v/>
      </c>
    </row>
    <row r="786" spans="1:9" x14ac:dyDescent="0.2">
      <c r="A786" s="23" t="str">
        <v/>
      </c>
      <c r="B786" s="25" t="str">
        <v/>
      </c>
      <c r="C786" s="27" t="str">
        <v/>
      </c>
      <c r="D786" s="27" t="str">
        <v/>
      </c>
      <c r="E786" s="27" t="str">
        <v/>
      </c>
      <c r="F786" s="27" t="str">
        <v/>
      </c>
      <c r="G786" s="27" t="str">
        <v/>
      </c>
      <c r="H786" s="27" t="str">
        <v/>
      </c>
      <c r="I786" s="27" t="str">
        <v/>
      </c>
    </row>
    <row r="787" spans="1:9" x14ac:dyDescent="0.2">
      <c r="A787" s="23" t="str">
        <v/>
      </c>
      <c r="B787" s="25" t="str">
        <v/>
      </c>
      <c r="C787" s="27" t="str">
        <v/>
      </c>
      <c r="D787" s="27" t="str">
        <v/>
      </c>
      <c r="E787" s="27" t="str">
        <v/>
      </c>
      <c r="F787" s="27" t="str">
        <v/>
      </c>
      <c r="G787" s="27" t="str">
        <v/>
      </c>
      <c r="H787" s="27" t="str">
        <v/>
      </c>
      <c r="I787" s="27" t="str">
        <v/>
      </c>
    </row>
    <row r="788" spans="1:9" x14ac:dyDescent="0.2">
      <c r="A788" s="23" t="str">
        <v/>
      </c>
      <c r="B788" s="25" t="str">
        <v/>
      </c>
      <c r="C788" s="27" t="str">
        <v/>
      </c>
      <c r="D788" s="27" t="str">
        <v/>
      </c>
      <c r="E788" s="27" t="str">
        <v/>
      </c>
      <c r="F788" s="27" t="str">
        <v/>
      </c>
      <c r="G788" s="27" t="str">
        <v/>
      </c>
      <c r="H788" s="27" t="str">
        <v/>
      </c>
      <c r="I788" s="27" t="str">
        <v/>
      </c>
    </row>
    <row r="789" spans="1:9" x14ac:dyDescent="0.2">
      <c r="A789" s="23" t="str">
        <v/>
      </c>
      <c r="B789" s="25" t="str">
        <v/>
      </c>
      <c r="C789" s="27" t="str">
        <v/>
      </c>
      <c r="D789" s="27" t="str">
        <v/>
      </c>
      <c r="E789" s="27" t="str">
        <v/>
      </c>
      <c r="F789" s="27" t="str">
        <v/>
      </c>
      <c r="G789" s="27" t="str">
        <v/>
      </c>
      <c r="H789" s="27" t="str">
        <v/>
      </c>
      <c r="I789" s="27" t="str">
        <v/>
      </c>
    </row>
    <row r="790" spans="1:9" x14ac:dyDescent="0.2">
      <c r="A790" s="23" t="str">
        <v/>
      </c>
      <c r="B790" s="25" t="str">
        <v/>
      </c>
      <c r="C790" s="27" t="str">
        <v/>
      </c>
      <c r="D790" s="27" t="str">
        <v/>
      </c>
      <c r="E790" s="27" t="str">
        <v/>
      </c>
      <c r="F790" s="27" t="str">
        <v/>
      </c>
      <c r="G790" s="27" t="str">
        <v/>
      </c>
      <c r="H790" s="27" t="str">
        <v/>
      </c>
      <c r="I790" s="27" t="str">
        <v/>
      </c>
    </row>
    <row r="791" spans="1:9" x14ac:dyDescent="0.2">
      <c r="A791" s="23" t="str">
        <v/>
      </c>
      <c r="B791" s="25" t="str">
        <v/>
      </c>
      <c r="C791" s="27" t="str">
        <v/>
      </c>
      <c r="D791" s="27" t="str">
        <v/>
      </c>
      <c r="E791" s="27" t="str">
        <v/>
      </c>
      <c r="F791" s="27" t="str">
        <v/>
      </c>
      <c r="G791" s="27" t="str">
        <v/>
      </c>
      <c r="H791" s="27" t="str">
        <v/>
      </c>
      <c r="I791" s="27" t="str">
        <v/>
      </c>
    </row>
    <row r="792" spans="1:9" x14ac:dyDescent="0.2">
      <c r="A792" s="23" t="str">
        <v/>
      </c>
      <c r="B792" s="25" t="str">
        <v/>
      </c>
      <c r="C792" s="27" t="str">
        <v/>
      </c>
      <c r="D792" s="27" t="str">
        <v/>
      </c>
      <c r="E792" s="27" t="str">
        <v/>
      </c>
      <c r="F792" s="27" t="str">
        <v/>
      </c>
      <c r="G792" s="27" t="str">
        <v/>
      </c>
      <c r="H792" s="27" t="str">
        <v/>
      </c>
      <c r="I792" s="27" t="str">
        <v/>
      </c>
    </row>
    <row r="793" spans="1:9" x14ac:dyDescent="0.2">
      <c r="A793" s="23" t="str">
        <v/>
      </c>
      <c r="B793" s="25" t="str">
        <v/>
      </c>
      <c r="C793" s="27" t="str">
        <v/>
      </c>
      <c r="D793" s="27" t="str">
        <v/>
      </c>
      <c r="E793" s="27" t="str">
        <v/>
      </c>
      <c r="F793" s="27" t="str">
        <v/>
      </c>
      <c r="G793" s="27" t="str">
        <v/>
      </c>
      <c r="H793" s="27" t="str">
        <v/>
      </c>
      <c r="I793" s="27" t="str">
        <v/>
      </c>
    </row>
    <row r="794" spans="1:9" x14ac:dyDescent="0.2">
      <c r="A794" s="23" t="str">
        <v/>
      </c>
      <c r="B794" s="25" t="str">
        <v/>
      </c>
      <c r="C794" s="27" t="str">
        <v/>
      </c>
      <c r="D794" s="27" t="str">
        <v/>
      </c>
      <c r="E794" s="27" t="str">
        <v/>
      </c>
      <c r="F794" s="27" t="str">
        <v/>
      </c>
      <c r="G794" s="27" t="str">
        <v/>
      </c>
      <c r="H794" s="27" t="str">
        <v/>
      </c>
      <c r="I794" s="27" t="str">
        <v/>
      </c>
    </row>
    <row r="795" spans="1:9" x14ac:dyDescent="0.2">
      <c r="A795" s="23" t="str">
        <v/>
      </c>
      <c r="B795" s="25" t="str">
        <v/>
      </c>
      <c r="C795" s="27" t="str">
        <v/>
      </c>
      <c r="D795" s="27" t="str">
        <v/>
      </c>
      <c r="E795" s="27" t="str">
        <v/>
      </c>
      <c r="F795" s="27" t="str">
        <v/>
      </c>
      <c r="G795" s="27" t="str">
        <v/>
      </c>
      <c r="H795" s="27" t="str">
        <v/>
      </c>
      <c r="I795" s="27" t="str">
        <v/>
      </c>
    </row>
    <row r="796" spans="1:9" x14ac:dyDescent="0.2">
      <c r="A796" s="23" t="str">
        <v/>
      </c>
      <c r="B796" s="25" t="str">
        <v/>
      </c>
      <c r="C796" s="27" t="str">
        <v/>
      </c>
      <c r="D796" s="27" t="str">
        <v/>
      </c>
      <c r="E796" s="27" t="str">
        <v/>
      </c>
      <c r="F796" s="27" t="str">
        <v/>
      </c>
      <c r="G796" s="27" t="str">
        <v/>
      </c>
      <c r="H796" s="27" t="str">
        <v/>
      </c>
      <c r="I796" s="27" t="str">
        <v/>
      </c>
    </row>
    <row r="797" spans="1:9" x14ac:dyDescent="0.2">
      <c r="A797" s="23" t="str">
        <v/>
      </c>
      <c r="B797" s="25" t="str">
        <v/>
      </c>
      <c r="C797" s="27" t="str">
        <v/>
      </c>
      <c r="D797" s="27" t="str">
        <v/>
      </c>
      <c r="E797" s="27" t="str">
        <v/>
      </c>
      <c r="F797" s="27" t="str">
        <v/>
      </c>
      <c r="G797" s="27" t="str">
        <v/>
      </c>
      <c r="H797" s="27" t="str">
        <v/>
      </c>
      <c r="I797" s="27" t="str">
        <v/>
      </c>
    </row>
    <row r="798" spans="1:9" x14ac:dyDescent="0.2">
      <c r="A798" s="23" t="str">
        <v/>
      </c>
      <c r="B798" s="25" t="str">
        <v/>
      </c>
      <c r="C798" s="27" t="str">
        <v/>
      </c>
      <c r="D798" s="27" t="str">
        <v/>
      </c>
      <c r="E798" s="27" t="str">
        <v/>
      </c>
      <c r="F798" s="27" t="str">
        <v/>
      </c>
      <c r="G798" s="27" t="str">
        <v/>
      </c>
      <c r="H798" s="27" t="str">
        <v/>
      </c>
      <c r="I798" s="27" t="str">
        <v/>
      </c>
    </row>
    <row r="799" spans="1:9" x14ac:dyDescent="0.2">
      <c r="A799" s="23" t="str">
        <v/>
      </c>
      <c r="B799" s="25" t="str">
        <v/>
      </c>
      <c r="C799" s="27" t="str">
        <v/>
      </c>
      <c r="D799" s="27" t="str">
        <v/>
      </c>
      <c r="E799" s="27" t="str">
        <v/>
      </c>
      <c r="F799" s="27" t="str">
        <v/>
      </c>
      <c r="G799" s="27" t="str">
        <v/>
      </c>
      <c r="H799" s="27" t="str">
        <v/>
      </c>
      <c r="I799" s="27" t="str">
        <v/>
      </c>
    </row>
    <row r="800" spans="1:9" x14ac:dyDescent="0.2">
      <c r="A800" s="23" t="str">
        <v/>
      </c>
      <c r="B800" s="25" t="str">
        <v/>
      </c>
      <c r="C800" s="27" t="str">
        <v/>
      </c>
      <c r="D800" s="27" t="str">
        <v/>
      </c>
      <c r="E800" s="27" t="str">
        <v/>
      </c>
      <c r="F800" s="27" t="str">
        <v/>
      </c>
      <c r="G800" s="27" t="str">
        <v/>
      </c>
      <c r="H800" s="27" t="str">
        <v/>
      </c>
      <c r="I800" s="27" t="str">
        <v/>
      </c>
    </row>
    <row r="801" spans="1:9" x14ac:dyDescent="0.2">
      <c r="A801" s="23" t="str">
        <v/>
      </c>
      <c r="B801" s="25" t="str">
        <v/>
      </c>
      <c r="C801" s="27" t="str">
        <v/>
      </c>
      <c r="D801" s="27" t="str">
        <v/>
      </c>
      <c r="E801" s="27" t="str">
        <v/>
      </c>
      <c r="F801" s="27" t="str">
        <v/>
      </c>
      <c r="G801" s="27" t="str">
        <v/>
      </c>
      <c r="H801" s="27" t="str">
        <v/>
      </c>
      <c r="I801" s="27" t="str">
        <v/>
      </c>
    </row>
    <row r="802" spans="1:9" x14ac:dyDescent="0.2">
      <c r="A802" s="23" t="str">
        <v/>
      </c>
      <c r="B802" s="25" t="str">
        <v/>
      </c>
      <c r="C802" s="27" t="str">
        <v/>
      </c>
      <c r="D802" s="27" t="str">
        <v/>
      </c>
      <c r="E802" s="27" t="str">
        <v/>
      </c>
      <c r="F802" s="27" t="str">
        <v/>
      </c>
      <c r="G802" s="27" t="str">
        <v/>
      </c>
      <c r="H802" s="27" t="str">
        <v/>
      </c>
      <c r="I802" s="27" t="str">
        <v/>
      </c>
    </row>
    <row r="803" spans="1:9" x14ac:dyDescent="0.2">
      <c r="A803" s="23" t="str">
        <v/>
      </c>
      <c r="B803" s="25" t="str">
        <v/>
      </c>
      <c r="C803" s="27" t="str">
        <v/>
      </c>
      <c r="D803" s="27" t="str">
        <v/>
      </c>
      <c r="E803" s="27" t="str">
        <v/>
      </c>
      <c r="F803" s="27" t="str">
        <v/>
      </c>
      <c r="G803" s="27" t="str">
        <v/>
      </c>
      <c r="H803" s="27" t="str">
        <v/>
      </c>
      <c r="I803" s="27" t="str">
        <v/>
      </c>
    </row>
    <row r="804" spans="1:9" x14ac:dyDescent="0.2">
      <c r="A804" s="23" t="str">
        <v/>
      </c>
      <c r="B804" s="25" t="str">
        <v/>
      </c>
      <c r="C804" s="27" t="str">
        <v/>
      </c>
      <c r="D804" s="27" t="str">
        <v/>
      </c>
      <c r="E804" s="27" t="str">
        <v/>
      </c>
      <c r="F804" s="27" t="str">
        <v/>
      </c>
      <c r="G804" s="27" t="str">
        <v/>
      </c>
      <c r="H804" s="27" t="str">
        <v/>
      </c>
      <c r="I804" s="27" t="str">
        <v/>
      </c>
    </row>
    <row r="805" spans="1:9" x14ac:dyDescent="0.2">
      <c r="A805" s="23" t="str">
        <v/>
      </c>
      <c r="B805" s="25" t="str">
        <v/>
      </c>
      <c r="C805" s="27" t="str">
        <v/>
      </c>
      <c r="D805" s="27" t="str">
        <v/>
      </c>
      <c r="E805" s="27" t="str">
        <v/>
      </c>
      <c r="F805" s="27" t="str">
        <v/>
      </c>
      <c r="G805" s="27" t="str">
        <v/>
      </c>
      <c r="H805" s="27" t="str">
        <v/>
      </c>
      <c r="I805" s="27" t="str">
        <v/>
      </c>
    </row>
    <row r="806" spans="1:9" x14ac:dyDescent="0.2">
      <c r="A806" s="23" t="str">
        <v/>
      </c>
      <c r="B806" s="25" t="str">
        <v/>
      </c>
      <c r="C806" s="27" t="str">
        <v/>
      </c>
      <c r="D806" s="27" t="str">
        <v/>
      </c>
      <c r="E806" s="27" t="str">
        <v/>
      </c>
      <c r="F806" s="27" t="str">
        <v/>
      </c>
      <c r="G806" s="27" t="str">
        <v/>
      </c>
      <c r="H806" s="27" t="str">
        <v/>
      </c>
      <c r="I806" s="27" t="str">
        <v/>
      </c>
    </row>
    <row r="807" spans="1:9" x14ac:dyDescent="0.2">
      <c r="A807" s="23" t="str">
        <v/>
      </c>
      <c r="B807" s="25" t="str">
        <v/>
      </c>
      <c r="C807" s="27" t="str">
        <v/>
      </c>
      <c r="D807" s="27" t="str">
        <v/>
      </c>
      <c r="E807" s="27" t="str">
        <v/>
      </c>
      <c r="F807" s="27" t="str">
        <v/>
      </c>
      <c r="G807" s="27" t="str">
        <v/>
      </c>
      <c r="H807" s="27" t="str">
        <v/>
      </c>
      <c r="I807" s="27" t="str">
        <v/>
      </c>
    </row>
    <row r="808" spans="1:9" x14ac:dyDescent="0.2">
      <c r="A808" s="23" t="str">
        <v/>
      </c>
      <c r="B808" s="25" t="str">
        <v/>
      </c>
      <c r="C808" s="27" t="str">
        <v/>
      </c>
      <c r="D808" s="27" t="str">
        <v/>
      </c>
      <c r="E808" s="27" t="str">
        <v/>
      </c>
      <c r="F808" s="27" t="str">
        <v/>
      </c>
      <c r="G808" s="27" t="str">
        <v/>
      </c>
      <c r="H808" s="27" t="str">
        <v/>
      </c>
      <c r="I808" s="27" t="str">
        <v/>
      </c>
    </row>
    <row r="809" spans="1:9" x14ac:dyDescent="0.2">
      <c r="A809" s="23" t="str">
        <v/>
      </c>
      <c r="B809" s="25" t="str">
        <v/>
      </c>
      <c r="C809" s="27" t="str">
        <v/>
      </c>
      <c r="D809" s="27" t="str">
        <v/>
      </c>
      <c r="E809" s="27" t="str">
        <v/>
      </c>
      <c r="F809" s="27" t="str">
        <v/>
      </c>
      <c r="G809" s="27" t="str">
        <v/>
      </c>
      <c r="H809" s="27" t="str">
        <v/>
      </c>
      <c r="I809" s="27" t="str">
        <v/>
      </c>
    </row>
    <row r="810" spans="1:9" x14ac:dyDescent="0.2">
      <c r="A810" s="23" t="str">
        <v/>
      </c>
      <c r="B810" s="25" t="str">
        <v/>
      </c>
      <c r="C810" s="27" t="str">
        <v/>
      </c>
      <c r="D810" s="27" t="str">
        <v/>
      </c>
      <c r="E810" s="27" t="str">
        <v/>
      </c>
      <c r="F810" s="27" t="str">
        <v/>
      </c>
      <c r="G810" s="27" t="str">
        <v/>
      </c>
      <c r="H810" s="27" t="str">
        <v/>
      </c>
      <c r="I810" s="27" t="str">
        <v/>
      </c>
    </row>
    <row r="811" spans="1:9" x14ac:dyDescent="0.2">
      <c r="A811" s="23" t="str">
        <v/>
      </c>
      <c r="B811" s="25" t="str">
        <v/>
      </c>
      <c r="C811" s="27" t="str">
        <v/>
      </c>
      <c r="D811" s="27" t="str">
        <v/>
      </c>
      <c r="E811" s="27" t="str">
        <v/>
      </c>
      <c r="F811" s="27" t="str">
        <v/>
      </c>
      <c r="G811" s="27" t="str">
        <v/>
      </c>
      <c r="H811" s="27" t="str">
        <v/>
      </c>
      <c r="I811" s="27" t="str">
        <v/>
      </c>
    </row>
    <row r="812" spans="1:9" x14ac:dyDescent="0.2">
      <c r="A812" s="23" t="str">
        <v/>
      </c>
      <c r="B812" s="25" t="str">
        <v/>
      </c>
      <c r="C812" s="27" t="str">
        <v/>
      </c>
      <c r="D812" s="27" t="str">
        <v/>
      </c>
      <c r="E812" s="27" t="str">
        <v/>
      </c>
      <c r="F812" s="27" t="str">
        <v/>
      </c>
      <c r="G812" s="27" t="str">
        <v/>
      </c>
      <c r="H812" s="27" t="str">
        <v/>
      </c>
      <c r="I812" s="27" t="str">
        <v/>
      </c>
    </row>
    <row r="813" spans="1:9" x14ac:dyDescent="0.2">
      <c r="A813" s="23" t="str">
        <v/>
      </c>
      <c r="B813" s="25" t="str">
        <v/>
      </c>
      <c r="C813" s="27" t="str">
        <v/>
      </c>
      <c r="D813" s="27" t="str">
        <v/>
      </c>
      <c r="E813" s="27" t="str">
        <v/>
      </c>
      <c r="F813" s="27" t="str">
        <v/>
      </c>
      <c r="G813" s="27" t="str">
        <v/>
      </c>
      <c r="H813" s="27" t="str">
        <v/>
      </c>
      <c r="I813" s="27" t="str">
        <v/>
      </c>
    </row>
    <row r="814" spans="1:9" x14ac:dyDescent="0.2">
      <c r="A814" s="23" t="str">
        <v/>
      </c>
      <c r="B814" s="25" t="str">
        <v/>
      </c>
      <c r="C814" s="27" t="str">
        <v/>
      </c>
      <c r="D814" s="27" t="str">
        <v/>
      </c>
      <c r="E814" s="27" t="str">
        <v/>
      </c>
      <c r="F814" s="27" t="str">
        <v/>
      </c>
      <c r="G814" s="27" t="str">
        <v/>
      </c>
      <c r="H814" s="27" t="str">
        <v/>
      </c>
      <c r="I814" s="27" t="str">
        <v/>
      </c>
    </row>
    <row r="815" spans="1:9" x14ac:dyDescent="0.2">
      <c r="A815" s="23" t="str">
        <v/>
      </c>
      <c r="B815" s="25" t="str">
        <v/>
      </c>
      <c r="C815" s="27" t="str">
        <v/>
      </c>
      <c r="D815" s="27" t="str">
        <v/>
      </c>
      <c r="E815" s="27" t="str">
        <v/>
      </c>
      <c r="F815" s="27" t="str">
        <v/>
      </c>
      <c r="G815" s="27" t="str">
        <v/>
      </c>
      <c r="H815" s="27" t="str">
        <v/>
      </c>
      <c r="I815" s="27" t="str">
        <v/>
      </c>
    </row>
    <row r="816" spans="1:9" x14ac:dyDescent="0.2">
      <c r="A816" s="23" t="str">
        <v/>
      </c>
      <c r="B816" s="25" t="str">
        <v/>
      </c>
      <c r="C816" s="27" t="str">
        <v/>
      </c>
      <c r="D816" s="27" t="str">
        <v/>
      </c>
      <c r="E816" s="27" t="str">
        <v/>
      </c>
      <c r="F816" s="27" t="str">
        <v/>
      </c>
      <c r="G816" s="27" t="str">
        <v/>
      </c>
      <c r="H816" s="27" t="str">
        <v/>
      </c>
      <c r="I816" s="27" t="str">
        <v/>
      </c>
    </row>
    <row r="817" spans="1:9" x14ac:dyDescent="0.2">
      <c r="A817" s="23" t="str">
        <v/>
      </c>
      <c r="B817" s="25" t="str">
        <v/>
      </c>
      <c r="C817" s="27" t="str">
        <v/>
      </c>
      <c r="D817" s="27" t="str">
        <v/>
      </c>
      <c r="E817" s="27" t="str">
        <v/>
      </c>
      <c r="F817" s="27" t="str">
        <v/>
      </c>
      <c r="G817" s="27" t="str">
        <v/>
      </c>
      <c r="H817" s="27" t="str">
        <v/>
      </c>
      <c r="I817" s="27" t="str">
        <v/>
      </c>
    </row>
    <row r="818" spans="1:9" x14ac:dyDescent="0.2">
      <c r="A818" s="23" t="str">
        <v/>
      </c>
      <c r="B818" s="25" t="str">
        <v/>
      </c>
      <c r="C818" s="27" t="str">
        <v/>
      </c>
      <c r="D818" s="27" t="str">
        <v/>
      </c>
      <c r="E818" s="27" t="str">
        <v/>
      </c>
      <c r="F818" s="27" t="str">
        <v/>
      </c>
      <c r="G818" s="27" t="str">
        <v/>
      </c>
      <c r="H818" s="27" t="str">
        <v/>
      </c>
      <c r="I818" s="27" t="str">
        <v/>
      </c>
    </row>
    <row r="819" spans="1:9" x14ac:dyDescent="0.2">
      <c r="A819" s="23" t="str">
        <v/>
      </c>
      <c r="B819" s="25" t="str">
        <v/>
      </c>
      <c r="C819" s="27" t="str">
        <v/>
      </c>
      <c r="D819" s="27" t="str">
        <v/>
      </c>
      <c r="E819" s="27" t="str">
        <v/>
      </c>
      <c r="F819" s="27" t="str">
        <v/>
      </c>
      <c r="G819" s="27" t="str">
        <v/>
      </c>
      <c r="H819" s="27" t="str">
        <v/>
      </c>
      <c r="I819" s="27" t="str">
        <v/>
      </c>
    </row>
    <row r="820" spans="1:9" x14ac:dyDescent="0.2">
      <c r="A820" s="23" t="str">
        <v/>
      </c>
      <c r="B820" s="25" t="str">
        <v/>
      </c>
      <c r="C820" s="27" t="str">
        <v/>
      </c>
      <c r="D820" s="27" t="str">
        <v/>
      </c>
      <c r="E820" s="27" t="str">
        <v/>
      </c>
      <c r="F820" s="27" t="str">
        <v/>
      </c>
      <c r="G820" s="27" t="str">
        <v/>
      </c>
      <c r="H820" s="27" t="str">
        <v/>
      </c>
      <c r="I820" s="27" t="str">
        <v/>
      </c>
    </row>
    <row r="821" spans="1:9" x14ac:dyDescent="0.2">
      <c r="A821" s="23" t="str">
        <v/>
      </c>
      <c r="B821" s="25" t="str">
        <v/>
      </c>
      <c r="C821" s="27" t="str">
        <v/>
      </c>
      <c r="D821" s="27" t="str">
        <v/>
      </c>
      <c r="E821" s="27" t="str">
        <v/>
      </c>
      <c r="F821" s="27" t="str">
        <v/>
      </c>
      <c r="G821" s="27" t="str">
        <v/>
      </c>
      <c r="H821" s="27" t="str">
        <v/>
      </c>
      <c r="I821" s="27" t="str">
        <v/>
      </c>
    </row>
    <row r="822" spans="1:9" x14ac:dyDescent="0.2">
      <c r="A822" s="23" t="str">
        <v/>
      </c>
      <c r="B822" s="25" t="str">
        <v/>
      </c>
      <c r="C822" s="27" t="str">
        <v/>
      </c>
      <c r="D822" s="27" t="str">
        <v/>
      </c>
      <c r="E822" s="27" t="str">
        <v/>
      </c>
      <c r="F822" s="27" t="str">
        <v/>
      </c>
      <c r="G822" s="27" t="str">
        <v/>
      </c>
      <c r="H822" s="27" t="str">
        <v/>
      </c>
      <c r="I822" s="27" t="str">
        <v/>
      </c>
    </row>
    <row r="823" spans="1:9" x14ac:dyDescent="0.2">
      <c r="A823" s="23" t="str">
        <v/>
      </c>
      <c r="B823" s="25" t="str">
        <v/>
      </c>
      <c r="C823" s="27" t="str">
        <v/>
      </c>
      <c r="D823" s="27" t="str">
        <v/>
      </c>
      <c r="E823" s="27" t="str">
        <v/>
      </c>
      <c r="F823" s="27" t="str">
        <v/>
      </c>
      <c r="G823" s="27" t="str">
        <v/>
      </c>
      <c r="H823" s="27" t="str">
        <v/>
      </c>
      <c r="I823" s="27" t="str">
        <v/>
      </c>
    </row>
    <row r="824" spans="1:9" x14ac:dyDescent="0.2">
      <c r="A824" s="23" t="str">
        <v/>
      </c>
      <c r="B824" s="25" t="str">
        <v/>
      </c>
      <c r="C824" s="27" t="str">
        <v/>
      </c>
      <c r="D824" s="27" t="str">
        <v/>
      </c>
      <c r="E824" s="27" t="str">
        <v/>
      </c>
      <c r="F824" s="27" t="str">
        <v/>
      </c>
      <c r="G824" s="27" t="str">
        <v/>
      </c>
      <c r="H824" s="27" t="str">
        <v/>
      </c>
      <c r="I824" s="27" t="str">
        <v/>
      </c>
    </row>
    <row r="825" spans="1:9" x14ac:dyDescent="0.2">
      <c r="A825" s="23" t="str">
        <v/>
      </c>
      <c r="B825" s="25" t="str">
        <v/>
      </c>
      <c r="C825" s="27" t="str">
        <v/>
      </c>
      <c r="D825" s="27" t="str">
        <v/>
      </c>
      <c r="E825" s="27" t="str">
        <v/>
      </c>
      <c r="F825" s="27" t="str">
        <v/>
      </c>
      <c r="G825" s="27" t="str">
        <v/>
      </c>
      <c r="H825" s="27" t="str">
        <v/>
      </c>
      <c r="I825" s="27" t="str">
        <v/>
      </c>
    </row>
    <row r="826" spans="1:9" x14ac:dyDescent="0.2">
      <c r="A826" s="23" t="str">
        <v/>
      </c>
      <c r="B826" s="25" t="str">
        <v/>
      </c>
      <c r="C826" s="27" t="str">
        <v/>
      </c>
      <c r="D826" s="27" t="str">
        <v/>
      </c>
      <c r="E826" s="27" t="str">
        <v/>
      </c>
      <c r="F826" s="27" t="str">
        <v/>
      </c>
      <c r="G826" s="27" t="str">
        <v/>
      </c>
      <c r="H826" s="27" t="str">
        <v/>
      </c>
      <c r="I826" s="27" t="str">
        <v/>
      </c>
    </row>
    <row r="827" spans="1:9" x14ac:dyDescent="0.2">
      <c r="A827" s="23" t="str">
        <v/>
      </c>
      <c r="B827" s="25" t="str">
        <v/>
      </c>
      <c r="C827" s="27" t="str">
        <v/>
      </c>
      <c r="D827" s="27" t="str">
        <v/>
      </c>
      <c r="E827" s="27" t="str">
        <v/>
      </c>
      <c r="F827" s="27" t="str">
        <v/>
      </c>
      <c r="G827" s="27" t="str">
        <v/>
      </c>
      <c r="H827" s="27" t="str">
        <v/>
      </c>
      <c r="I827" s="27" t="str">
        <v/>
      </c>
    </row>
    <row r="828" spans="1:9" x14ac:dyDescent="0.2">
      <c r="A828" s="23" t="str">
        <v/>
      </c>
      <c r="B828" s="25" t="str">
        <v/>
      </c>
      <c r="C828" s="27" t="str">
        <v/>
      </c>
      <c r="D828" s="27" t="str">
        <v/>
      </c>
      <c r="E828" s="27" t="str">
        <v/>
      </c>
      <c r="F828" s="27" t="str">
        <v/>
      </c>
      <c r="G828" s="27" t="str">
        <v/>
      </c>
      <c r="H828" s="27" t="str">
        <v/>
      </c>
      <c r="I828" s="27" t="str">
        <v/>
      </c>
    </row>
    <row r="829" spans="1:9" x14ac:dyDescent="0.2">
      <c r="A829" s="23" t="str">
        <v/>
      </c>
      <c r="B829" s="25" t="str">
        <v/>
      </c>
      <c r="C829" s="27" t="str">
        <v/>
      </c>
      <c r="D829" s="27" t="str">
        <v/>
      </c>
      <c r="E829" s="27" t="str">
        <v/>
      </c>
      <c r="F829" s="27" t="str">
        <v/>
      </c>
      <c r="G829" s="27" t="str">
        <v/>
      </c>
      <c r="H829" s="27" t="str">
        <v/>
      </c>
      <c r="I829" s="27" t="str">
        <v/>
      </c>
    </row>
    <row r="830" spans="1:9" x14ac:dyDescent="0.2">
      <c r="A830" s="23" t="str">
        <v/>
      </c>
      <c r="B830" s="25" t="str">
        <v/>
      </c>
      <c r="C830" s="27" t="str">
        <v/>
      </c>
      <c r="D830" s="27" t="str">
        <v/>
      </c>
      <c r="E830" s="27" t="str">
        <v/>
      </c>
      <c r="F830" s="27" t="str">
        <v/>
      </c>
      <c r="G830" s="27" t="str">
        <v/>
      </c>
      <c r="H830" s="27" t="str">
        <v/>
      </c>
      <c r="I830" s="27" t="str">
        <v/>
      </c>
    </row>
    <row r="831" spans="1:9" x14ac:dyDescent="0.2">
      <c r="A831" s="23" t="str">
        <v/>
      </c>
      <c r="B831" s="25" t="str">
        <v/>
      </c>
      <c r="C831" s="27" t="str">
        <v/>
      </c>
      <c r="D831" s="27" t="str">
        <v/>
      </c>
      <c r="E831" s="27" t="str">
        <v/>
      </c>
      <c r="F831" s="27" t="str">
        <v/>
      </c>
      <c r="G831" s="27" t="str">
        <v/>
      </c>
      <c r="H831" s="27" t="str">
        <v/>
      </c>
      <c r="I831" s="27" t="str">
        <v/>
      </c>
    </row>
    <row r="832" spans="1:9" x14ac:dyDescent="0.2">
      <c r="A832" s="23" t="str">
        <v/>
      </c>
      <c r="B832" s="25" t="str">
        <v/>
      </c>
      <c r="C832" s="27" t="str">
        <v/>
      </c>
      <c r="D832" s="27" t="str">
        <v/>
      </c>
      <c r="E832" s="27" t="str">
        <v/>
      </c>
      <c r="F832" s="27" t="str">
        <v/>
      </c>
      <c r="G832" s="27" t="str">
        <v/>
      </c>
      <c r="H832" s="27" t="str">
        <v/>
      </c>
      <c r="I832" s="27" t="str">
        <v/>
      </c>
    </row>
    <row r="833" spans="1:9" x14ac:dyDescent="0.2">
      <c r="A833" s="23" t="str">
        <v/>
      </c>
      <c r="B833" s="25" t="str">
        <v/>
      </c>
      <c r="C833" s="27" t="str">
        <v/>
      </c>
      <c r="D833" s="27" t="str">
        <v/>
      </c>
      <c r="E833" s="27" t="str">
        <v/>
      </c>
      <c r="F833" s="27" t="str">
        <v/>
      </c>
      <c r="G833" s="27" t="str">
        <v/>
      </c>
      <c r="H833" s="27" t="str">
        <v/>
      </c>
      <c r="I833" s="27" t="str">
        <v/>
      </c>
    </row>
    <row r="834" spans="1:9" x14ac:dyDescent="0.2">
      <c r="A834" s="23" t="str">
        <v/>
      </c>
      <c r="B834" s="25" t="str">
        <v/>
      </c>
      <c r="C834" s="27" t="str">
        <v/>
      </c>
      <c r="D834" s="27" t="str">
        <v/>
      </c>
      <c r="E834" s="27" t="str">
        <v/>
      </c>
      <c r="F834" s="27" t="str">
        <v/>
      </c>
      <c r="G834" s="27" t="str">
        <v/>
      </c>
      <c r="H834" s="27" t="str">
        <v/>
      </c>
      <c r="I834" s="27" t="str">
        <v/>
      </c>
    </row>
    <row r="835" spans="1:9" x14ac:dyDescent="0.2">
      <c r="A835" s="23" t="str">
        <v/>
      </c>
      <c r="B835" s="25" t="str">
        <v/>
      </c>
      <c r="C835" s="27" t="str">
        <v/>
      </c>
      <c r="D835" s="27" t="str">
        <v/>
      </c>
      <c r="E835" s="27" t="str">
        <v/>
      </c>
      <c r="F835" s="27" t="str">
        <v/>
      </c>
      <c r="G835" s="27" t="str">
        <v/>
      </c>
      <c r="H835" s="27" t="str">
        <v/>
      </c>
      <c r="I835" s="27" t="str">
        <v/>
      </c>
    </row>
    <row r="836" spans="1:9" x14ac:dyDescent="0.2">
      <c r="A836" s="23" t="str">
        <v/>
      </c>
      <c r="B836" s="25" t="str">
        <v/>
      </c>
      <c r="C836" s="27" t="str">
        <v/>
      </c>
      <c r="D836" s="27" t="str">
        <v/>
      </c>
      <c r="E836" s="27" t="str">
        <v/>
      </c>
      <c r="F836" s="27" t="str">
        <v/>
      </c>
      <c r="G836" s="27" t="str">
        <v/>
      </c>
      <c r="H836" s="27" t="str">
        <v/>
      </c>
      <c r="I836" s="27" t="str">
        <v/>
      </c>
    </row>
    <row r="837" spans="1:9" x14ac:dyDescent="0.2">
      <c r="A837" s="23" t="str">
        <v/>
      </c>
      <c r="B837" s="25" t="str">
        <v/>
      </c>
      <c r="C837" s="27" t="str">
        <v/>
      </c>
      <c r="D837" s="27" t="str">
        <v/>
      </c>
      <c r="E837" s="27" t="str">
        <v/>
      </c>
      <c r="F837" s="27" t="str">
        <v/>
      </c>
      <c r="G837" s="27" t="str">
        <v/>
      </c>
      <c r="H837" s="27" t="str">
        <v/>
      </c>
      <c r="I837" s="27" t="str">
        <v/>
      </c>
    </row>
    <row r="838" spans="1:9" x14ac:dyDescent="0.2">
      <c r="A838" s="23" t="str">
        <v/>
      </c>
      <c r="B838" s="25" t="str">
        <v/>
      </c>
      <c r="C838" s="27" t="str">
        <v/>
      </c>
      <c r="D838" s="27" t="str">
        <v/>
      </c>
      <c r="E838" s="27" t="str">
        <v/>
      </c>
      <c r="F838" s="27" t="str">
        <v/>
      </c>
      <c r="G838" s="27" t="str">
        <v/>
      </c>
      <c r="H838" s="27" t="str">
        <v/>
      </c>
      <c r="I838" s="27" t="str">
        <v/>
      </c>
    </row>
    <row r="839" spans="1:9" x14ac:dyDescent="0.2">
      <c r="A839" s="23" t="str">
        <v/>
      </c>
      <c r="B839" s="25" t="str">
        <v/>
      </c>
      <c r="C839" s="27" t="str">
        <v/>
      </c>
      <c r="D839" s="27" t="str">
        <v/>
      </c>
      <c r="E839" s="27" t="str">
        <v/>
      </c>
      <c r="F839" s="27" t="str">
        <v/>
      </c>
      <c r="G839" s="27" t="str">
        <v/>
      </c>
      <c r="H839" s="27" t="str">
        <v/>
      </c>
      <c r="I839" s="27" t="str">
        <v/>
      </c>
    </row>
    <row r="840" spans="1:9" x14ac:dyDescent="0.2">
      <c r="A840" s="23" t="str">
        <v/>
      </c>
      <c r="B840" s="25" t="str">
        <v/>
      </c>
      <c r="C840" s="27" t="str">
        <v/>
      </c>
      <c r="D840" s="27" t="str">
        <v/>
      </c>
      <c r="E840" s="27" t="str">
        <v/>
      </c>
      <c r="F840" s="27" t="str">
        <v/>
      </c>
      <c r="G840" s="27" t="str">
        <v/>
      </c>
      <c r="H840" s="27" t="str">
        <v/>
      </c>
      <c r="I840" s="27" t="str">
        <v/>
      </c>
    </row>
    <row r="841" spans="1:9" x14ac:dyDescent="0.2">
      <c r="A841" s="23" t="str">
        <v/>
      </c>
      <c r="B841" s="25" t="str">
        <v/>
      </c>
      <c r="C841" s="27" t="str">
        <v/>
      </c>
      <c r="D841" s="27" t="str">
        <v/>
      </c>
      <c r="E841" s="27" t="str">
        <v/>
      </c>
      <c r="F841" s="27" t="str">
        <v/>
      </c>
      <c r="G841" s="27" t="str">
        <v/>
      </c>
      <c r="H841" s="27" t="str">
        <v/>
      </c>
      <c r="I841" s="27" t="str">
        <v/>
      </c>
    </row>
    <row r="842" spans="1:9" x14ac:dyDescent="0.2">
      <c r="A842" s="23" t="str">
        <v/>
      </c>
      <c r="B842" s="25" t="str">
        <v/>
      </c>
      <c r="C842" s="27" t="str">
        <v/>
      </c>
      <c r="D842" s="27" t="str">
        <v/>
      </c>
      <c r="E842" s="27" t="str">
        <v/>
      </c>
      <c r="F842" s="27" t="str">
        <v/>
      </c>
      <c r="G842" s="27" t="str">
        <v/>
      </c>
      <c r="H842" s="27" t="str">
        <v/>
      </c>
      <c r="I842" s="27" t="str">
        <v/>
      </c>
    </row>
    <row r="843" spans="1:9" x14ac:dyDescent="0.2">
      <c r="A843" s="23" t="str">
        <v/>
      </c>
      <c r="B843" s="25" t="str">
        <v/>
      </c>
      <c r="C843" s="27" t="str">
        <v/>
      </c>
      <c r="D843" s="27" t="str">
        <v/>
      </c>
      <c r="E843" s="27" t="str">
        <v/>
      </c>
      <c r="F843" s="27" t="str">
        <v/>
      </c>
      <c r="G843" s="27" t="str">
        <v/>
      </c>
      <c r="H843" s="27" t="str">
        <v/>
      </c>
      <c r="I843" s="27" t="str">
        <v/>
      </c>
    </row>
    <row r="844" spans="1:9" x14ac:dyDescent="0.2">
      <c r="A844" s="23" t="str">
        <v/>
      </c>
      <c r="B844" s="25" t="str">
        <v/>
      </c>
      <c r="C844" s="27" t="str">
        <v/>
      </c>
      <c r="D844" s="27" t="str">
        <v/>
      </c>
      <c r="E844" s="27" t="str">
        <v/>
      </c>
      <c r="F844" s="27" t="str">
        <v/>
      </c>
      <c r="G844" s="27" t="str">
        <v/>
      </c>
      <c r="H844" s="27" t="str">
        <v/>
      </c>
      <c r="I844" s="27" t="str">
        <v/>
      </c>
    </row>
    <row r="845" spans="1:9" x14ac:dyDescent="0.2">
      <c r="A845" s="23" t="str">
        <v/>
      </c>
      <c r="B845" s="25" t="str">
        <v/>
      </c>
      <c r="C845" s="27" t="str">
        <v/>
      </c>
      <c r="D845" s="27" t="str">
        <v/>
      </c>
      <c r="E845" s="27" t="str">
        <v/>
      </c>
      <c r="F845" s="27" t="str">
        <v/>
      </c>
      <c r="G845" s="27" t="str">
        <v/>
      </c>
      <c r="H845" s="27" t="str">
        <v/>
      </c>
      <c r="I845" s="27" t="str">
        <v/>
      </c>
    </row>
    <row r="846" spans="1:9" x14ac:dyDescent="0.2">
      <c r="A846" s="23" t="str">
        <v/>
      </c>
      <c r="B846" s="25" t="str">
        <v/>
      </c>
      <c r="C846" s="27" t="str">
        <v/>
      </c>
      <c r="D846" s="27" t="str">
        <v/>
      </c>
      <c r="E846" s="27" t="str">
        <v/>
      </c>
      <c r="F846" s="27" t="str">
        <v/>
      </c>
      <c r="G846" s="27" t="str">
        <v/>
      </c>
      <c r="H846" s="27" t="str">
        <v/>
      </c>
      <c r="I846" s="27" t="str">
        <v/>
      </c>
    </row>
    <row r="847" spans="1:9" x14ac:dyDescent="0.2">
      <c r="A847" s="23" t="str">
        <v/>
      </c>
      <c r="B847" s="25" t="str">
        <v/>
      </c>
      <c r="C847" s="27" t="str">
        <v/>
      </c>
      <c r="D847" s="27" t="str">
        <v/>
      </c>
      <c r="E847" s="27" t="str">
        <v/>
      </c>
      <c r="F847" s="27" t="str">
        <v/>
      </c>
      <c r="G847" s="27" t="str">
        <v/>
      </c>
      <c r="H847" s="27" t="str">
        <v/>
      </c>
      <c r="I847" s="27" t="str">
        <v/>
      </c>
    </row>
    <row r="848" spans="1:9" x14ac:dyDescent="0.2">
      <c r="A848" s="23" t="str">
        <v/>
      </c>
      <c r="B848" s="25" t="str">
        <v/>
      </c>
      <c r="C848" s="27" t="str">
        <v/>
      </c>
      <c r="D848" s="27" t="str">
        <v/>
      </c>
      <c r="E848" s="27" t="str">
        <v/>
      </c>
      <c r="F848" s="27" t="str">
        <v/>
      </c>
      <c r="G848" s="27" t="str">
        <v/>
      </c>
      <c r="H848" s="27" t="str">
        <v/>
      </c>
      <c r="I848" s="27" t="str">
        <v/>
      </c>
    </row>
    <row r="849" spans="1:9" x14ac:dyDescent="0.2">
      <c r="A849" s="23" t="str">
        <v/>
      </c>
      <c r="B849" s="25" t="str">
        <v/>
      </c>
      <c r="C849" s="27" t="str">
        <v/>
      </c>
      <c r="D849" s="27" t="str">
        <v/>
      </c>
      <c r="E849" s="27" t="str">
        <v/>
      </c>
      <c r="F849" s="27" t="str">
        <v/>
      </c>
      <c r="G849" s="27" t="str">
        <v/>
      </c>
      <c r="H849" s="27" t="str">
        <v/>
      </c>
      <c r="I849" s="27" t="str">
        <v/>
      </c>
    </row>
    <row r="850" spans="1:9" x14ac:dyDescent="0.2">
      <c r="A850" s="23" t="str">
        <v/>
      </c>
      <c r="B850" s="25" t="str">
        <v/>
      </c>
      <c r="C850" s="27" t="str">
        <v/>
      </c>
      <c r="D850" s="27" t="str">
        <v/>
      </c>
      <c r="E850" s="27" t="str">
        <v/>
      </c>
      <c r="F850" s="27" t="str">
        <v/>
      </c>
      <c r="G850" s="27" t="str">
        <v/>
      </c>
      <c r="H850" s="27" t="str">
        <v/>
      </c>
      <c r="I850" s="27" t="str">
        <v/>
      </c>
    </row>
    <row r="851" spans="1:9" x14ac:dyDescent="0.2">
      <c r="A851" s="23" t="str">
        <v/>
      </c>
      <c r="B851" s="25" t="str">
        <v/>
      </c>
      <c r="C851" s="27" t="str">
        <v/>
      </c>
      <c r="D851" s="27" t="str">
        <v/>
      </c>
      <c r="E851" s="27" t="str">
        <v/>
      </c>
      <c r="F851" s="27" t="str">
        <v/>
      </c>
      <c r="G851" s="27" t="str">
        <v/>
      </c>
      <c r="H851" s="27" t="str">
        <v/>
      </c>
      <c r="I851" s="27" t="str">
        <v/>
      </c>
    </row>
    <row r="852" spans="1:9" x14ac:dyDescent="0.2">
      <c r="A852" s="23" t="str">
        <v/>
      </c>
      <c r="B852" s="25" t="str">
        <v/>
      </c>
      <c r="C852" s="27" t="str">
        <v/>
      </c>
      <c r="D852" s="27" t="str">
        <v/>
      </c>
      <c r="E852" s="27" t="str">
        <v/>
      </c>
      <c r="F852" s="27" t="str">
        <v/>
      </c>
      <c r="G852" s="27" t="str">
        <v/>
      </c>
      <c r="H852" s="27" t="str">
        <v/>
      </c>
      <c r="I852" s="27" t="str">
        <v/>
      </c>
    </row>
    <row r="853" spans="1:9" x14ac:dyDescent="0.2">
      <c r="A853" s="23" t="str">
        <v/>
      </c>
      <c r="B853" s="25" t="str">
        <v/>
      </c>
      <c r="C853" s="27" t="str">
        <v/>
      </c>
      <c r="D853" s="27" t="str">
        <v/>
      </c>
      <c r="E853" s="27" t="str">
        <v/>
      </c>
      <c r="F853" s="27" t="str">
        <v/>
      </c>
      <c r="G853" s="27" t="str">
        <v/>
      </c>
      <c r="H853" s="27" t="str">
        <v/>
      </c>
      <c r="I853" s="27" t="str">
        <v/>
      </c>
    </row>
    <row r="854" spans="1:9" x14ac:dyDescent="0.2">
      <c r="A854" s="23" t="str">
        <v/>
      </c>
      <c r="B854" s="25" t="str">
        <v/>
      </c>
      <c r="C854" s="27" t="str">
        <v/>
      </c>
      <c r="D854" s="27" t="str">
        <v/>
      </c>
      <c r="E854" s="27" t="str">
        <v/>
      </c>
      <c r="F854" s="27" t="str">
        <v/>
      </c>
      <c r="G854" s="27" t="str">
        <v/>
      </c>
      <c r="H854" s="27" t="str">
        <v/>
      </c>
      <c r="I854" s="27" t="str">
        <v/>
      </c>
    </row>
    <row r="855" spans="1:9" x14ac:dyDescent="0.2">
      <c r="A855" s="23" t="str">
        <v/>
      </c>
      <c r="B855" s="25" t="str">
        <v/>
      </c>
      <c r="C855" s="27" t="str">
        <v/>
      </c>
      <c r="D855" s="27" t="str">
        <v/>
      </c>
      <c r="E855" s="27" t="str">
        <v/>
      </c>
      <c r="F855" s="27" t="str">
        <v/>
      </c>
      <c r="G855" s="27" t="str">
        <v/>
      </c>
      <c r="H855" s="27" t="str">
        <v/>
      </c>
      <c r="I855" s="27" t="str">
        <v/>
      </c>
    </row>
    <row r="856" spans="1:9" x14ac:dyDescent="0.2">
      <c r="A856" s="23" t="str">
        <v/>
      </c>
      <c r="B856" s="25" t="str">
        <v/>
      </c>
      <c r="C856" s="27" t="str">
        <v/>
      </c>
      <c r="D856" s="27" t="str">
        <v/>
      </c>
      <c r="E856" s="27" t="str">
        <v/>
      </c>
      <c r="F856" s="27" t="str">
        <v/>
      </c>
      <c r="G856" s="27" t="str">
        <v/>
      </c>
      <c r="H856" s="27" t="str">
        <v/>
      </c>
      <c r="I856" s="27" t="str">
        <v/>
      </c>
    </row>
    <row r="857" spans="1:9" x14ac:dyDescent="0.2">
      <c r="A857" s="23" t="str">
        <v/>
      </c>
      <c r="B857" s="25" t="str">
        <v/>
      </c>
      <c r="C857" s="27" t="str">
        <v/>
      </c>
      <c r="D857" s="27" t="str">
        <v/>
      </c>
      <c r="E857" s="27" t="str">
        <v/>
      </c>
      <c r="F857" s="27" t="str">
        <v/>
      </c>
      <c r="G857" s="27" t="str">
        <v/>
      </c>
      <c r="H857" s="27" t="str">
        <v/>
      </c>
      <c r="I857" s="27" t="str">
        <v/>
      </c>
    </row>
    <row r="858" spans="1:9" x14ac:dyDescent="0.2">
      <c r="A858" s="23" t="str">
        <v/>
      </c>
      <c r="B858" s="25" t="str">
        <v/>
      </c>
      <c r="C858" s="27" t="str">
        <v/>
      </c>
      <c r="D858" s="27" t="str">
        <v/>
      </c>
      <c r="E858" s="27" t="str">
        <v/>
      </c>
      <c r="F858" s="27" t="str">
        <v/>
      </c>
      <c r="G858" s="27" t="str">
        <v/>
      </c>
      <c r="H858" s="27" t="str">
        <v/>
      </c>
      <c r="I858" s="27" t="str">
        <v/>
      </c>
    </row>
    <row r="859" spans="1:9" x14ac:dyDescent="0.2">
      <c r="A859" s="23" t="str">
        <v/>
      </c>
      <c r="B859" s="25" t="str">
        <v/>
      </c>
      <c r="C859" s="27" t="str">
        <v/>
      </c>
      <c r="D859" s="27" t="str">
        <v/>
      </c>
      <c r="E859" s="27" t="str">
        <v/>
      </c>
      <c r="F859" s="27" t="str">
        <v/>
      </c>
      <c r="G859" s="27" t="str">
        <v/>
      </c>
      <c r="H859" s="27" t="str">
        <v/>
      </c>
      <c r="I859" s="27" t="str">
        <v/>
      </c>
    </row>
    <row r="860" spans="1:9" x14ac:dyDescent="0.2">
      <c r="A860" s="23" t="str">
        <v/>
      </c>
      <c r="B860" s="25" t="str">
        <v/>
      </c>
      <c r="C860" s="27" t="str">
        <v/>
      </c>
      <c r="D860" s="27" t="str">
        <v/>
      </c>
      <c r="E860" s="27" t="str">
        <v/>
      </c>
      <c r="F860" s="27" t="str">
        <v/>
      </c>
      <c r="G860" s="27" t="str">
        <v/>
      </c>
      <c r="H860" s="27" t="str">
        <v/>
      </c>
      <c r="I860" s="27" t="str">
        <v/>
      </c>
    </row>
    <row r="861" spans="1:9" x14ac:dyDescent="0.2">
      <c r="A861" s="23" t="str">
        <v/>
      </c>
      <c r="B861" s="25" t="str">
        <v/>
      </c>
      <c r="C861" s="27" t="str">
        <v/>
      </c>
      <c r="D861" s="27" t="str">
        <v/>
      </c>
      <c r="E861" s="27" t="str">
        <v/>
      </c>
      <c r="F861" s="27" t="str">
        <v/>
      </c>
      <c r="G861" s="27" t="str">
        <v/>
      </c>
      <c r="H861" s="27" t="str">
        <v/>
      </c>
      <c r="I861" s="27" t="str">
        <v/>
      </c>
    </row>
    <row r="862" spans="1:9" x14ac:dyDescent="0.2">
      <c r="A862" s="23" t="str">
        <v/>
      </c>
      <c r="B862" s="25" t="str">
        <v/>
      </c>
      <c r="C862" s="27" t="str">
        <v/>
      </c>
      <c r="D862" s="27" t="str">
        <v/>
      </c>
      <c r="E862" s="27" t="str">
        <v/>
      </c>
      <c r="F862" s="27" t="str">
        <v/>
      </c>
      <c r="G862" s="27" t="str">
        <v/>
      </c>
      <c r="H862" s="27" t="str">
        <v/>
      </c>
      <c r="I862" s="27" t="str">
        <v/>
      </c>
    </row>
    <row r="863" spans="1:9" x14ac:dyDescent="0.2">
      <c r="A863" s="23" t="str">
        <v/>
      </c>
      <c r="B863" s="25" t="str">
        <v/>
      </c>
      <c r="C863" s="27" t="str">
        <v/>
      </c>
      <c r="D863" s="27" t="str">
        <v/>
      </c>
      <c r="E863" s="27" t="str">
        <v/>
      </c>
      <c r="F863" s="27" t="str">
        <v/>
      </c>
      <c r="G863" s="27" t="str">
        <v/>
      </c>
      <c r="H863" s="27" t="str">
        <v/>
      </c>
      <c r="I863" s="27" t="str">
        <v/>
      </c>
    </row>
    <row r="864" spans="1:9" x14ac:dyDescent="0.2">
      <c r="A864" s="23" t="str">
        <v/>
      </c>
      <c r="B864" s="25" t="str">
        <v/>
      </c>
      <c r="C864" s="27" t="str">
        <v/>
      </c>
      <c r="D864" s="27" t="str">
        <v/>
      </c>
      <c r="E864" s="27" t="str">
        <v/>
      </c>
      <c r="F864" s="27" t="str">
        <v/>
      </c>
      <c r="G864" s="27" t="str">
        <v/>
      </c>
      <c r="H864" s="27" t="str">
        <v/>
      </c>
      <c r="I864" s="27" t="str">
        <v/>
      </c>
    </row>
    <row r="865" spans="1:9" x14ac:dyDescent="0.2">
      <c r="A865" s="23" t="str">
        <v/>
      </c>
      <c r="B865" s="25" t="str">
        <v/>
      </c>
      <c r="C865" s="27" t="str">
        <v/>
      </c>
      <c r="D865" s="27" t="str">
        <v/>
      </c>
      <c r="E865" s="27" t="str">
        <v/>
      </c>
      <c r="F865" s="27" t="str">
        <v/>
      </c>
      <c r="G865" s="27" t="str">
        <v/>
      </c>
      <c r="H865" s="27" t="str">
        <v/>
      </c>
      <c r="I865" s="27" t="str">
        <v/>
      </c>
    </row>
    <row r="866" spans="1:9" x14ac:dyDescent="0.2">
      <c r="A866" s="23" t="str">
        <v/>
      </c>
      <c r="B866" s="25" t="str">
        <v/>
      </c>
      <c r="C866" s="27" t="str">
        <v/>
      </c>
      <c r="D866" s="27" t="str">
        <v/>
      </c>
      <c r="E866" s="27" t="str">
        <v/>
      </c>
      <c r="F866" s="27" t="str">
        <v/>
      </c>
      <c r="G866" s="27" t="str">
        <v/>
      </c>
      <c r="H866" s="27" t="str">
        <v/>
      </c>
      <c r="I866" s="27" t="str">
        <v/>
      </c>
    </row>
    <row r="867" spans="1:9" x14ac:dyDescent="0.2">
      <c r="A867" s="23" t="str">
        <v/>
      </c>
      <c r="B867" s="25" t="str">
        <v/>
      </c>
      <c r="C867" s="27" t="str">
        <v/>
      </c>
      <c r="D867" s="27" t="str">
        <v/>
      </c>
      <c r="E867" s="27" t="str">
        <v/>
      </c>
      <c r="F867" s="27" t="str">
        <v/>
      </c>
      <c r="G867" s="27" t="str">
        <v/>
      </c>
      <c r="H867" s="27" t="str">
        <v/>
      </c>
      <c r="I867" s="27" t="str">
        <v/>
      </c>
    </row>
    <row r="868" spans="1:9" x14ac:dyDescent="0.2">
      <c r="A868" s="23" t="str">
        <v/>
      </c>
      <c r="B868" s="25" t="str">
        <v/>
      </c>
      <c r="C868" s="27" t="str">
        <v/>
      </c>
      <c r="D868" s="27" t="str">
        <v/>
      </c>
      <c r="E868" s="27" t="str">
        <v/>
      </c>
      <c r="F868" s="27" t="str">
        <v/>
      </c>
      <c r="G868" s="27" t="str">
        <v/>
      </c>
      <c r="H868" s="27" t="str">
        <v/>
      </c>
      <c r="I868" s="27" t="str">
        <v/>
      </c>
    </row>
    <row r="869" spans="1:9" x14ac:dyDescent="0.2">
      <c r="A869" s="23" t="str">
        <v/>
      </c>
      <c r="B869" s="25" t="str">
        <v/>
      </c>
      <c r="C869" s="27" t="str">
        <v/>
      </c>
      <c r="D869" s="27" t="str">
        <v/>
      </c>
      <c r="E869" s="27" t="str">
        <v/>
      </c>
      <c r="F869" s="27" t="str">
        <v/>
      </c>
      <c r="G869" s="27" t="str">
        <v/>
      </c>
      <c r="H869" s="27" t="str">
        <v/>
      </c>
      <c r="I869" s="27" t="str">
        <v/>
      </c>
    </row>
    <row r="870" spans="1:9" x14ac:dyDescent="0.2">
      <c r="A870" s="23" t="str">
        <v/>
      </c>
      <c r="B870" s="25" t="str">
        <v/>
      </c>
      <c r="C870" s="27" t="str">
        <v/>
      </c>
      <c r="D870" s="27" t="str">
        <v/>
      </c>
      <c r="E870" s="27" t="str">
        <v/>
      </c>
      <c r="F870" s="27" t="str">
        <v/>
      </c>
      <c r="G870" s="27" t="str">
        <v/>
      </c>
      <c r="H870" s="27" t="str">
        <v/>
      </c>
      <c r="I870" s="27" t="str">
        <v/>
      </c>
    </row>
    <row r="871" spans="1:9" x14ac:dyDescent="0.2">
      <c r="A871" s="23" t="str">
        <v/>
      </c>
      <c r="B871" s="25" t="str">
        <v/>
      </c>
      <c r="C871" s="27" t="str">
        <v/>
      </c>
      <c r="D871" s="27" t="str">
        <v/>
      </c>
      <c r="E871" s="27" t="str">
        <v/>
      </c>
      <c r="F871" s="27" t="str">
        <v/>
      </c>
      <c r="G871" s="27" t="str">
        <v/>
      </c>
      <c r="H871" s="27" t="str">
        <v/>
      </c>
      <c r="I871" s="27" t="str">
        <v/>
      </c>
    </row>
    <row r="872" spans="1:9" x14ac:dyDescent="0.2">
      <c r="A872" s="23" t="str">
        <v/>
      </c>
      <c r="B872" s="25" t="str">
        <v/>
      </c>
      <c r="C872" s="27" t="str">
        <v/>
      </c>
      <c r="D872" s="27" t="str">
        <v/>
      </c>
      <c r="E872" s="27" t="str">
        <v/>
      </c>
      <c r="F872" s="27" t="str">
        <v/>
      </c>
      <c r="G872" s="27" t="str">
        <v/>
      </c>
      <c r="H872" s="27" t="str">
        <v/>
      </c>
      <c r="I872" s="27" t="str">
        <v/>
      </c>
    </row>
    <row r="873" spans="1:9" x14ac:dyDescent="0.2">
      <c r="A873" s="23" t="str">
        <v/>
      </c>
      <c r="B873" s="25" t="str">
        <v/>
      </c>
      <c r="C873" s="27" t="str">
        <v/>
      </c>
      <c r="D873" s="27" t="str">
        <v/>
      </c>
      <c r="E873" s="27" t="str">
        <v/>
      </c>
      <c r="F873" s="27" t="str">
        <v/>
      </c>
      <c r="G873" s="27" t="str">
        <v/>
      </c>
      <c r="H873" s="27" t="str">
        <v/>
      </c>
      <c r="I873" s="27" t="str">
        <v/>
      </c>
    </row>
    <row r="874" spans="1:9" x14ac:dyDescent="0.2">
      <c r="A874" s="23" t="str">
        <v/>
      </c>
      <c r="B874" s="25" t="str">
        <v/>
      </c>
      <c r="C874" s="27" t="str">
        <v/>
      </c>
      <c r="D874" s="27" t="str">
        <v/>
      </c>
      <c r="E874" s="27" t="str">
        <v/>
      </c>
      <c r="F874" s="27" t="str">
        <v/>
      </c>
      <c r="G874" s="27" t="str">
        <v/>
      </c>
      <c r="H874" s="27" t="str">
        <v/>
      </c>
      <c r="I874" s="27" t="str">
        <v/>
      </c>
    </row>
    <row r="875" spans="1:9" x14ac:dyDescent="0.2">
      <c r="A875" s="23" t="str">
        <v/>
      </c>
      <c r="B875" s="25" t="str">
        <v/>
      </c>
      <c r="C875" s="27" t="str">
        <v/>
      </c>
      <c r="D875" s="27" t="str">
        <v/>
      </c>
      <c r="E875" s="27" t="str">
        <v/>
      </c>
      <c r="F875" s="27" t="str">
        <v/>
      </c>
      <c r="G875" s="27" t="str">
        <v/>
      </c>
      <c r="H875" s="27" t="str">
        <v/>
      </c>
      <c r="I875" s="27" t="str">
        <v/>
      </c>
    </row>
    <row r="876" spans="1:9" x14ac:dyDescent="0.2">
      <c r="A876" s="23" t="str">
        <v/>
      </c>
      <c r="B876" s="25" t="str">
        <v/>
      </c>
      <c r="C876" s="27" t="str">
        <v/>
      </c>
      <c r="D876" s="27" t="str">
        <v/>
      </c>
      <c r="E876" s="27" t="str">
        <v/>
      </c>
      <c r="F876" s="27" t="str">
        <v/>
      </c>
      <c r="G876" s="27" t="str">
        <v/>
      </c>
      <c r="H876" s="27" t="str">
        <v/>
      </c>
      <c r="I876" s="27" t="str">
        <v/>
      </c>
    </row>
    <row r="877" spans="1:9" x14ac:dyDescent="0.2">
      <c r="A877" s="23" t="str">
        <v/>
      </c>
      <c r="B877" s="25" t="str">
        <v/>
      </c>
      <c r="C877" s="27" t="str">
        <v/>
      </c>
      <c r="D877" s="27" t="str">
        <v/>
      </c>
      <c r="E877" s="27" t="str">
        <v/>
      </c>
      <c r="F877" s="27" t="str">
        <v/>
      </c>
      <c r="G877" s="27" t="str">
        <v/>
      </c>
      <c r="H877" s="27" t="str">
        <v/>
      </c>
      <c r="I877" s="27" t="str">
        <v/>
      </c>
    </row>
    <row r="878" spans="1:9" x14ac:dyDescent="0.2">
      <c r="A878" s="23" t="str">
        <v/>
      </c>
      <c r="B878" s="25" t="str">
        <v/>
      </c>
      <c r="C878" s="27" t="str">
        <v/>
      </c>
      <c r="D878" s="27" t="str">
        <v/>
      </c>
      <c r="E878" s="27" t="str">
        <v/>
      </c>
      <c r="F878" s="27" t="str">
        <v/>
      </c>
      <c r="G878" s="27" t="str">
        <v/>
      </c>
      <c r="H878" s="27" t="str">
        <v/>
      </c>
      <c r="I878" s="27" t="str">
        <v/>
      </c>
    </row>
    <row r="879" spans="1:9" x14ac:dyDescent="0.2">
      <c r="A879" s="23" t="str">
        <v/>
      </c>
      <c r="B879" s="25" t="str">
        <v/>
      </c>
      <c r="C879" s="27" t="str">
        <v/>
      </c>
      <c r="D879" s="27" t="str">
        <v/>
      </c>
      <c r="E879" s="27" t="str">
        <v/>
      </c>
      <c r="F879" s="27" t="str">
        <v/>
      </c>
      <c r="G879" s="27" t="str">
        <v/>
      </c>
      <c r="H879" s="27" t="str">
        <v/>
      </c>
      <c r="I879" s="27" t="str">
        <v/>
      </c>
    </row>
    <row r="880" spans="1:9" x14ac:dyDescent="0.2">
      <c r="A880" s="23" t="str">
        <v/>
      </c>
      <c r="B880" s="25" t="str">
        <v/>
      </c>
      <c r="C880" s="27" t="str">
        <v/>
      </c>
      <c r="D880" s="27" t="str">
        <v/>
      </c>
      <c r="E880" s="27" t="str">
        <v/>
      </c>
      <c r="F880" s="27" t="str">
        <v/>
      </c>
      <c r="G880" s="27" t="str">
        <v/>
      </c>
      <c r="H880" s="27" t="str">
        <v/>
      </c>
      <c r="I880" s="27" t="str">
        <v/>
      </c>
    </row>
    <row r="881" spans="1:9" x14ac:dyDescent="0.2">
      <c r="A881" s="23" t="str">
        <v/>
      </c>
      <c r="B881" s="25" t="str">
        <v/>
      </c>
      <c r="C881" s="27" t="str">
        <v/>
      </c>
      <c r="D881" s="27" t="str">
        <v/>
      </c>
      <c r="E881" s="27" t="str">
        <v/>
      </c>
      <c r="F881" s="27" t="str">
        <v/>
      </c>
      <c r="G881" s="27" t="str">
        <v/>
      </c>
      <c r="H881" s="27" t="str">
        <v/>
      </c>
      <c r="I881" s="27" t="str">
        <v/>
      </c>
    </row>
    <row r="882" spans="1:9" x14ac:dyDescent="0.2">
      <c r="A882" s="23" t="str">
        <v/>
      </c>
      <c r="B882" s="25" t="str">
        <v/>
      </c>
      <c r="C882" s="27" t="str">
        <v/>
      </c>
      <c r="D882" s="27" t="str">
        <v/>
      </c>
      <c r="E882" s="27" t="str">
        <v/>
      </c>
      <c r="F882" s="27" t="str">
        <v/>
      </c>
      <c r="G882" s="27" t="str">
        <v/>
      </c>
      <c r="H882" s="27" t="str">
        <v/>
      </c>
      <c r="I882" s="27" t="str">
        <v/>
      </c>
    </row>
    <row r="883" spans="1:9" x14ac:dyDescent="0.2">
      <c r="A883" s="23" t="str">
        <v/>
      </c>
      <c r="B883" s="25" t="str">
        <v/>
      </c>
      <c r="C883" s="27" t="str">
        <v/>
      </c>
      <c r="D883" s="27" t="str">
        <v/>
      </c>
      <c r="E883" s="27" t="str">
        <v/>
      </c>
      <c r="F883" s="27" t="str">
        <v/>
      </c>
      <c r="G883" s="27" t="str">
        <v/>
      </c>
      <c r="H883" s="27" t="str">
        <v/>
      </c>
      <c r="I883" s="27" t="str">
        <v/>
      </c>
    </row>
    <row r="884" spans="1:9" x14ac:dyDescent="0.2">
      <c r="A884" s="23" t="str">
        <v/>
      </c>
      <c r="B884" s="25" t="str">
        <v/>
      </c>
      <c r="C884" s="27" t="str">
        <v/>
      </c>
      <c r="D884" s="27" t="str">
        <v/>
      </c>
      <c r="E884" s="27" t="str">
        <v/>
      </c>
      <c r="F884" s="27" t="str">
        <v/>
      </c>
      <c r="G884" s="27" t="str">
        <v/>
      </c>
      <c r="H884" s="27" t="str">
        <v/>
      </c>
      <c r="I884" s="27" t="str">
        <v/>
      </c>
    </row>
    <row r="885" spans="1:9" x14ac:dyDescent="0.2">
      <c r="A885" s="23" t="str">
        <v/>
      </c>
      <c r="B885" s="25" t="str">
        <v/>
      </c>
      <c r="C885" s="27" t="str">
        <v/>
      </c>
      <c r="D885" s="27" t="str">
        <v/>
      </c>
      <c r="E885" s="27" t="str">
        <v/>
      </c>
      <c r="F885" s="27" t="str">
        <v/>
      </c>
      <c r="G885" s="27" t="str">
        <v/>
      </c>
      <c r="H885" s="27" t="str">
        <v/>
      </c>
      <c r="I885" s="27" t="str">
        <v/>
      </c>
    </row>
    <row r="886" spans="1:9" x14ac:dyDescent="0.2">
      <c r="A886" s="23" t="str">
        <v/>
      </c>
      <c r="B886" s="25" t="str">
        <v/>
      </c>
      <c r="C886" s="27" t="str">
        <v/>
      </c>
      <c r="D886" s="27" t="str">
        <v/>
      </c>
      <c r="E886" s="27" t="str">
        <v/>
      </c>
      <c r="F886" s="27" t="str">
        <v/>
      </c>
      <c r="G886" s="27" t="str">
        <v/>
      </c>
      <c r="H886" s="27" t="str">
        <v/>
      </c>
      <c r="I886" s="27" t="str">
        <v/>
      </c>
    </row>
    <row r="887" spans="1:9" x14ac:dyDescent="0.2">
      <c r="A887" s="23" t="str">
        <v/>
      </c>
      <c r="B887" s="25" t="str">
        <v/>
      </c>
      <c r="C887" s="27" t="str">
        <v/>
      </c>
      <c r="D887" s="27" t="str">
        <v/>
      </c>
      <c r="E887" s="27" t="str">
        <v/>
      </c>
      <c r="F887" s="27" t="str">
        <v/>
      </c>
      <c r="G887" s="27" t="str">
        <v/>
      </c>
      <c r="H887" s="27" t="str">
        <v/>
      </c>
      <c r="I887" s="27" t="str">
        <v/>
      </c>
    </row>
    <row r="888" spans="1:9" x14ac:dyDescent="0.2">
      <c r="A888" s="23" t="str">
        <v/>
      </c>
      <c r="B888" s="25" t="str">
        <v/>
      </c>
      <c r="C888" s="27" t="str">
        <v/>
      </c>
      <c r="D888" s="27" t="str">
        <v/>
      </c>
      <c r="E888" s="27" t="str">
        <v/>
      </c>
      <c r="F888" s="27" t="str">
        <v/>
      </c>
      <c r="G888" s="27" t="str">
        <v/>
      </c>
      <c r="H888" s="27" t="str">
        <v/>
      </c>
      <c r="I888" s="27" t="str">
        <v/>
      </c>
    </row>
    <row r="889" spans="1:9" x14ac:dyDescent="0.2">
      <c r="A889" s="23" t="str">
        <v/>
      </c>
      <c r="B889" s="25" t="str">
        <v/>
      </c>
      <c r="C889" s="27" t="str">
        <v/>
      </c>
      <c r="D889" s="27" t="str">
        <v/>
      </c>
      <c r="E889" s="27" t="str">
        <v/>
      </c>
      <c r="F889" s="27" t="str">
        <v/>
      </c>
      <c r="G889" s="27" t="str">
        <v/>
      </c>
      <c r="H889" s="27" t="str">
        <v/>
      </c>
      <c r="I889" s="27" t="str">
        <v/>
      </c>
    </row>
    <row r="890" spans="1:9" x14ac:dyDescent="0.2">
      <c r="A890" s="23" t="str">
        <v/>
      </c>
      <c r="B890" s="25" t="str">
        <v/>
      </c>
      <c r="C890" s="27" t="str">
        <v/>
      </c>
      <c r="D890" s="27" t="str">
        <v/>
      </c>
      <c r="E890" s="27" t="str">
        <v/>
      </c>
      <c r="F890" s="27" t="str">
        <v/>
      </c>
      <c r="G890" s="27" t="str">
        <v/>
      </c>
      <c r="H890" s="27" t="str">
        <v/>
      </c>
      <c r="I890" s="27" t="str">
        <v/>
      </c>
    </row>
    <row r="891" spans="1:9" x14ac:dyDescent="0.2">
      <c r="A891" s="23" t="str">
        <v/>
      </c>
      <c r="B891" s="25" t="str">
        <v/>
      </c>
      <c r="C891" s="27" t="str">
        <v/>
      </c>
      <c r="D891" s="27" t="str">
        <v/>
      </c>
      <c r="E891" s="27" t="str">
        <v/>
      </c>
      <c r="F891" s="27" t="str">
        <v/>
      </c>
      <c r="G891" s="27" t="str">
        <v/>
      </c>
      <c r="H891" s="27" t="str">
        <v/>
      </c>
      <c r="I891" s="27" t="str">
        <v/>
      </c>
    </row>
    <row r="892" spans="1:9" x14ac:dyDescent="0.2">
      <c r="A892" s="23" t="str">
        <v/>
      </c>
      <c r="B892" s="25" t="str">
        <v/>
      </c>
      <c r="C892" s="27" t="str">
        <v/>
      </c>
      <c r="D892" s="27" t="str">
        <v/>
      </c>
      <c r="E892" s="27" t="str">
        <v/>
      </c>
      <c r="F892" s="27" t="str">
        <v/>
      </c>
      <c r="G892" s="27" t="str">
        <v/>
      </c>
      <c r="H892" s="27" t="str">
        <v/>
      </c>
      <c r="I892" s="27" t="str">
        <v/>
      </c>
    </row>
    <row r="893" spans="1:9" x14ac:dyDescent="0.2">
      <c r="A893" s="23" t="str">
        <v/>
      </c>
      <c r="B893" s="25" t="str">
        <v/>
      </c>
      <c r="C893" s="27" t="str">
        <v/>
      </c>
      <c r="D893" s="27" t="str">
        <v/>
      </c>
      <c r="E893" s="27" t="str">
        <v/>
      </c>
      <c r="F893" s="27" t="str">
        <v/>
      </c>
      <c r="G893" s="27" t="str">
        <v/>
      </c>
      <c r="H893" s="27" t="str">
        <v/>
      </c>
      <c r="I893" s="27" t="str">
        <v/>
      </c>
    </row>
    <row r="894" spans="1:9" x14ac:dyDescent="0.2">
      <c r="A894" s="23" t="str">
        <v/>
      </c>
      <c r="B894" s="25" t="str">
        <v/>
      </c>
      <c r="C894" s="27" t="str">
        <v/>
      </c>
      <c r="D894" s="27" t="str">
        <v/>
      </c>
      <c r="E894" s="27" t="str">
        <v/>
      </c>
      <c r="F894" s="27" t="str">
        <v/>
      </c>
      <c r="G894" s="27" t="str">
        <v/>
      </c>
      <c r="H894" s="27" t="str">
        <v/>
      </c>
      <c r="I894" s="27" t="str">
        <v/>
      </c>
    </row>
    <row r="895" spans="1:9" x14ac:dyDescent="0.2">
      <c r="A895" s="23" t="str">
        <v/>
      </c>
      <c r="B895" s="25" t="str">
        <v/>
      </c>
      <c r="C895" s="27" t="str">
        <v/>
      </c>
      <c r="D895" s="27" t="str">
        <v/>
      </c>
      <c r="E895" s="27" t="str">
        <v/>
      </c>
      <c r="F895" s="27" t="str">
        <v/>
      </c>
      <c r="G895" s="27" t="str">
        <v/>
      </c>
      <c r="H895" s="27" t="str">
        <v/>
      </c>
      <c r="I895" s="27" t="str">
        <v/>
      </c>
    </row>
    <row r="896" spans="1:9" x14ac:dyDescent="0.2">
      <c r="A896" s="23" t="str">
        <v/>
      </c>
      <c r="B896" s="25" t="str">
        <v/>
      </c>
      <c r="C896" s="27" t="str">
        <v/>
      </c>
      <c r="D896" s="27" t="str">
        <v/>
      </c>
      <c r="E896" s="27" t="str">
        <v/>
      </c>
      <c r="F896" s="27" t="str">
        <v/>
      </c>
      <c r="G896" s="27" t="str">
        <v/>
      </c>
      <c r="H896" s="27" t="str">
        <v/>
      </c>
      <c r="I896" s="27" t="str">
        <v/>
      </c>
    </row>
    <row r="897" spans="1:9" x14ac:dyDescent="0.2">
      <c r="A897" s="23" t="str">
        <v/>
      </c>
      <c r="B897" s="25" t="str">
        <v/>
      </c>
      <c r="C897" s="27" t="str">
        <v/>
      </c>
      <c r="D897" s="27" t="str">
        <v/>
      </c>
      <c r="E897" s="27" t="str">
        <v/>
      </c>
      <c r="F897" s="27" t="str">
        <v/>
      </c>
      <c r="G897" s="27" t="str">
        <v/>
      </c>
      <c r="H897" s="27" t="str">
        <v/>
      </c>
      <c r="I897" s="27" t="str">
        <v/>
      </c>
    </row>
    <row r="898" spans="1:9" x14ac:dyDescent="0.2">
      <c r="A898" s="23" t="str">
        <v/>
      </c>
      <c r="B898" s="25" t="str">
        <v/>
      </c>
      <c r="C898" s="27" t="str">
        <v/>
      </c>
      <c r="D898" s="27" t="str">
        <v/>
      </c>
      <c r="E898" s="27" t="str">
        <v/>
      </c>
      <c r="F898" s="27" t="str">
        <v/>
      </c>
      <c r="G898" s="27" t="str">
        <v/>
      </c>
      <c r="H898" s="27" t="str">
        <v/>
      </c>
      <c r="I898" s="27" t="str">
        <v/>
      </c>
    </row>
    <row r="899" spans="1:9" x14ac:dyDescent="0.2">
      <c r="A899" s="23" t="str">
        <v/>
      </c>
      <c r="B899" s="25" t="str">
        <v/>
      </c>
      <c r="C899" s="27" t="str">
        <v/>
      </c>
      <c r="D899" s="27" t="str">
        <v/>
      </c>
      <c r="E899" s="27" t="str">
        <v/>
      </c>
      <c r="F899" s="27" t="str">
        <v/>
      </c>
      <c r="G899" s="27" t="str">
        <v/>
      </c>
      <c r="H899" s="27" t="str">
        <v/>
      </c>
      <c r="I899" s="27" t="str">
        <v/>
      </c>
    </row>
    <row r="900" spans="1:9" x14ac:dyDescent="0.2">
      <c r="A900" s="23" t="str">
        <v/>
      </c>
      <c r="B900" s="25" t="str">
        <v/>
      </c>
      <c r="C900" s="27" t="str">
        <v/>
      </c>
      <c r="D900" s="27" t="str">
        <v/>
      </c>
      <c r="E900" s="27" t="str">
        <v/>
      </c>
      <c r="F900" s="27" t="str">
        <v/>
      </c>
      <c r="G900" s="27" t="str">
        <v/>
      </c>
      <c r="H900" s="27" t="str">
        <v/>
      </c>
      <c r="I900" s="27" t="str">
        <v/>
      </c>
    </row>
    <row r="901" spans="1:9" x14ac:dyDescent="0.2">
      <c r="A901" s="23" t="str">
        <v/>
      </c>
      <c r="B901" s="25" t="str">
        <v/>
      </c>
      <c r="C901" s="27" t="str">
        <v/>
      </c>
      <c r="D901" s="27" t="str">
        <v/>
      </c>
      <c r="E901" s="27" t="str">
        <v/>
      </c>
      <c r="F901" s="27" t="str">
        <v/>
      </c>
      <c r="G901" s="27" t="str">
        <v/>
      </c>
      <c r="H901" s="27" t="str">
        <v/>
      </c>
      <c r="I901" s="27" t="str">
        <v/>
      </c>
    </row>
    <row r="902" spans="1:9" x14ac:dyDescent="0.2">
      <c r="A902" s="23" t="str">
        <v/>
      </c>
      <c r="B902" s="25" t="str">
        <v/>
      </c>
      <c r="C902" s="27" t="str">
        <v/>
      </c>
      <c r="D902" s="27" t="str">
        <v/>
      </c>
      <c r="E902" s="27" t="str">
        <v/>
      </c>
      <c r="F902" s="27" t="str">
        <v/>
      </c>
      <c r="G902" s="27" t="str">
        <v/>
      </c>
      <c r="H902" s="27" t="str">
        <v/>
      </c>
      <c r="I902" s="27" t="str">
        <v/>
      </c>
    </row>
    <row r="903" spans="1:9" x14ac:dyDescent="0.2">
      <c r="A903" s="23" t="str">
        <v/>
      </c>
      <c r="B903" s="25" t="str">
        <v/>
      </c>
      <c r="C903" s="27" t="str">
        <v/>
      </c>
      <c r="D903" s="27" t="str">
        <v/>
      </c>
      <c r="E903" s="27" t="str">
        <v/>
      </c>
      <c r="F903" s="27" t="str">
        <v/>
      </c>
      <c r="G903" s="27" t="str">
        <v/>
      </c>
      <c r="H903" s="27" t="str">
        <v/>
      </c>
      <c r="I903" s="27" t="str">
        <v/>
      </c>
    </row>
    <row r="904" spans="1:9" x14ac:dyDescent="0.2">
      <c r="A904" s="23" t="str">
        <v/>
      </c>
      <c r="B904" s="25" t="str">
        <v/>
      </c>
      <c r="C904" s="27" t="str">
        <v/>
      </c>
      <c r="D904" s="27" t="str">
        <v/>
      </c>
      <c r="E904" s="27" t="str">
        <v/>
      </c>
      <c r="F904" s="27" t="str">
        <v/>
      </c>
      <c r="G904" s="27" t="str">
        <v/>
      </c>
      <c r="H904" s="27" t="str">
        <v/>
      </c>
      <c r="I904" s="27" t="str">
        <v/>
      </c>
    </row>
    <row r="905" spans="1:9" x14ac:dyDescent="0.2">
      <c r="A905" s="23" t="str">
        <v/>
      </c>
      <c r="B905" s="25" t="str">
        <v/>
      </c>
      <c r="C905" s="27" t="str">
        <v/>
      </c>
      <c r="D905" s="27" t="str">
        <v/>
      </c>
      <c r="E905" s="27" t="str">
        <v/>
      </c>
      <c r="F905" s="27" t="str">
        <v/>
      </c>
      <c r="G905" s="27" t="str">
        <v/>
      </c>
      <c r="H905" s="27" t="str">
        <v/>
      </c>
      <c r="I905" s="27" t="str">
        <v/>
      </c>
    </row>
    <row r="906" spans="1:9" x14ac:dyDescent="0.2">
      <c r="A906" s="23" t="str">
        <v/>
      </c>
      <c r="B906" s="25" t="str">
        <v/>
      </c>
      <c r="C906" s="27" t="str">
        <v/>
      </c>
      <c r="D906" s="27" t="str">
        <v/>
      </c>
      <c r="E906" s="27" t="str">
        <v/>
      </c>
      <c r="F906" s="27" t="str">
        <v/>
      </c>
      <c r="G906" s="27" t="str">
        <v/>
      </c>
      <c r="H906" s="27" t="str">
        <v/>
      </c>
      <c r="I906" s="27" t="str">
        <v/>
      </c>
    </row>
    <row r="907" spans="1:9" x14ac:dyDescent="0.2">
      <c r="A907" s="23" t="str">
        <v/>
      </c>
      <c r="B907" s="25" t="str">
        <v/>
      </c>
      <c r="C907" s="27" t="str">
        <v/>
      </c>
      <c r="D907" s="27" t="str">
        <v/>
      </c>
      <c r="E907" s="27" t="str">
        <v/>
      </c>
      <c r="F907" s="27" t="str">
        <v/>
      </c>
      <c r="G907" s="27" t="str">
        <v/>
      </c>
      <c r="H907" s="27" t="str">
        <v/>
      </c>
      <c r="I907" s="27" t="str">
        <v/>
      </c>
    </row>
    <row r="908" spans="1:9" x14ac:dyDescent="0.2">
      <c r="A908" s="23" t="str">
        <v/>
      </c>
      <c r="B908" s="25" t="str">
        <v/>
      </c>
      <c r="C908" s="27" t="str">
        <v/>
      </c>
      <c r="D908" s="27" t="str">
        <v/>
      </c>
      <c r="E908" s="27" t="str">
        <v/>
      </c>
      <c r="F908" s="27" t="str">
        <v/>
      </c>
      <c r="G908" s="27" t="str">
        <v/>
      </c>
      <c r="H908" s="27" t="str">
        <v/>
      </c>
      <c r="I908" s="27" t="str">
        <v/>
      </c>
    </row>
    <row r="909" spans="1:9" x14ac:dyDescent="0.2">
      <c r="A909" s="23" t="str">
        <v/>
      </c>
      <c r="B909" s="25" t="str">
        <v/>
      </c>
      <c r="C909" s="27" t="str">
        <v/>
      </c>
      <c r="D909" s="27" t="str">
        <v/>
      </c>
      <c r="E909" s="27" t="str">
        <v/>
      </c>
      <c r="F909" s="27" t="str">
        <v/>
      </c>
      <c r="G909" s="27" t="str">
        <v/>
      </c>
      <c r="H909" s="27" t="str">
        <v/>
      </c>
      <c r="I909" s="27" t="str">
        <v/>
      </c>
    </row>
    <row r="910" spans="1:9" x14ac:dyDescent="0.2">
      <c r="A910" s="23" t="str">
        <v/>
      </c>
      <c r="B910" s="25" t="str">
        <v/>
      </c>
      <c r="C910" s="27" t="str">
        <v/>
      </c>
      <c r="D910" s="27" t="str">
        <v/>
      </c>
      <c r="E910" s="27" t="str">
        <v/>
      </c>
      <c r="F910" s="27" t="str">
        <v/>
      </c>
      <c r="G910" s="27" t="str">
        <v/>
      </c>
      <c r="H910" s="27" t="str">
        <v/>
      </c>
      <c r="I910" s="27" t="str">
        <v/>
      </c>
    </row>
    <row r="911" spans="1:9" x14ac:dyDescent="0.2">
      <c r="A911" s="23" t="str">
        <v/>
      </c>
      <c r="B911" s="25" t="str">
        <v/>
      </c>
      <c r="C911" s="27" t="str">
        <v/>
      </c>
      <c r="D911" s="27" t="str">
        <v/>
      </c>
      <c r="E911" s="27" t="str">
        <v/>
      </c>
      <c r="F911" s="27" t="str">
        <v/>
      </c>
      <c r="G911" s="27" t="str">
        <v/>
      </c>
      <c r="H911" s="27" t="str">
        <v/>
      </c>
      <c r="I911" s="27" t="str">
        <v/>
      </c>
    </row>
    <row r="912" spans="1:9" x14ac:dyDescent="0.2">
      <c r="A912" s="23" t="str">
        <v/>
      </c>
      <c r="B912" s="25" t="str">
        <v/>
      </c>
      <c r="C912" s="27" t="str">
        <v/>
      </c>
      <c r="D912" s="27" t="str">
        <v/>
      </c>
      <c r="E912" s="27" t="str">
        <v/>
      </c>
      <c r="F912" s="27" t="str">
        <v/>
      </c>
      <c r="G912" s="27" t="str">
        <v/>
      </c>
      <c r="H912" s="27" t="str">
        <v/>
      </c>
      <c r="I912" s="27" t="str">
        <v/>
      </c>
    </row>
    <row r="913" spans="1:9" x14ac:dyDescent="0.2">
      <c r="A913" s="23" t="str">
        <v/>
      </c>
      <c r="B913" s="25" t="str">
        <v/>
      </c>
      <c r="C913" s="27" t="str">
        <v/>
      </c>
      <c r="D913" s="27" t="str">
        <v/>
      </c>
      <c r="E913" s="27" t="str">
        <v/>
      </c>
      <c r="F913" s="27" t="str">
        <v/>
      </c>
      <c r="G913" s="27" t="str">
        <v/>
      </c>
      <c r="H913" s="27" t="str">
        <v/>
      </c>
      <c r="I913" s="27" t="str">
        <v/>
      </c>
    </row>
    <row r="914" spans="1:9" x14ac:dyDescent="0.2">
      <c r="A914" s="23" t="str">
        <v/>
      </c>
      <c r="B914" s="25" t="str">
        <v/>
      </c>
      <c r="C914" s="27" t="str">
        <v/>
      </c>
      <c r="D914" s="27" t="str">
        <v/>
      </c>
      <c r="E914" s="27" t="str">
        <v/>
      </c>
      <c r="F914" s="27" t="str">
        <v/>
      </c>
      <c r="G914" s="27" t="str">
        <v/>
      </c>
      <c r="H914" s="27" t="str">
        <v/>
      </c>
      <c r="I914" s="27" t="str">
        <v/>
      </c>
    </row>
    <row r="915" spans="1:9" x14ac:dyDescent="0.2">
      <c r="A915" s="23" t="str">
        <v/>
      </c>
      <c r="B915" s="25" t="str">
        <v/>
      </c>
      <c r="C915" s="27" t="str">
        <v/>
      </c>
      <c r="D915" s="27" t="str">
        <v/>
      </c>
      <c r="E915" s="27" t="str">
        <v/>
      </c>
      <c r="F915" s="27" t="str">
        <v/>
      </c>
      <c r="G915" s="27" t="str">
        <v/>
      </c>
      <c r="H915" s="27" t="str">
        <v/>
      </c>
      <c r="I915" s="27" t="str">
        <v/>
      </c>
    </row>
    <row r="916" spans="1:9" x14ac:dyDescent="0.2">
      <c r="A916" s="23" t="str">
        <v/>
      </c>
      <c r="B916" s="25" t="str">
        <v/>
      </c>
      <c r="C916" s="27" t="str">
        <v/>
      </c>
      <c r="D916" s="27" t="str">
        <v/>
      </c>
      <c r="E916" s="27" t="str">
        <v/>
      </c>
      <c r="F916" s="27" t="str">
        <v/>
      </c>
      <c r="G916" s="27" t="str">
        <v/>
      </c>
      <c r="H916" s="27" t="str">
        <v/>
      </c>
      <c r="I916" s="27" t="str">
        <v/>
      </c>
    </row>
    <row r="917" spans="1:9" x14ac:dyDescent="0.2">
      <c r="A917" s="23" t="str">
        <v/>
      </c>
      <c r="B917" s="25" t="str">
        <v/>
      </c>
      <c r="C917" s="27" t="str">
        <v/>
      </c>
      <c r="D917" s="27" t="str">
        <v/>
      </c>
      <c r="E917" s="27" t="str">
        <v/>
      </c>
      <c r="F917" s="27" t="str">
        <v/>
      </c>
      <c r="G917" s="27" t="str">
        <v/>
      </c>
      <c r="H917" s="27" t="str">
        <v/>
      </c>
      <c r="I917" s="27" t="str">
        <v/>
      </c>
    </row>
    <row r="918" spans="1:9" x14ac:dyDescent="0.2">
      <c r="A918" s="23" t="str">
        <v/>
      </c>
      <c r="B918" s="25" t="str">
        <v/>
      </c>
      <c r="C918" s="27" t="str">
        <v/>
      </c>
      <c r="D918" s="27" t="str">
        <v/>
      </c>
      <c r="E918" s="27" t="str">
        <v/>
      </c>
      <c r="F918" s="27" t="str">
        <v/>
      </c>
      <c r="G918" s="27" t="str">
        <v/>
      </c>
      <c r="H918" s="27" t="str">
        <v/>
      </c>
      <c r="I918" s="27" t="str">
        <v/>
      </c>
    </row>
    <row r="919" spans="1:9" x14ac:dyDescent="0.2">
      <c r="A919" s="23" t="str">
        <v/>
      </c>
      <c r="B919" s="25" t="str">
        <v/>
      </c>
      <c r="C919" s="27" t="str">
        <v/>
      </c>
      <c r="D919" s="27" t="str">
        <v/>
      </c>
      <c r="E919" s="27" t="str">
        <v/>
      </c>
      <c r="F919" s="27" t="str">
        <v/>
      </c>
      <c r="G919" s="27" t="str">
        <v/>
      </c>
      <c r="H919" s="27" t="str">
        <v/>
      </c>
      <c r="I919" s="27" t="str">
        <v/>
      </c>
    </row>
    <row r="920" spans="1:9" x14ac:dyDescent="0.2">
      <c r="A920" s="23" t="str">
        <v/>
      </c>
      <c r="B920" s="25" t="str">
        <v/>
      </c>
      <c r="C920" s="27" t="str">
        <v/>
      </c>
      <c r="D920" s="27" t="str">
        <v/>
      </c>
      <c r="E920" s="27" t="str">
        <v/>
      </c>
      <c r="F920" s="27" t="str">
        <v/>
      </c>
      <c r="G920" s="27" t="str">
        <v/>
      </c>
      <c r="H920" s="27" t="str">
        <v/>
      </c>
      <c r="I920" s="27" t="str">
        <v/>
      </c>
    </row>
    <row r="921" spans="1:9" x14ac:dyDescent="0.2">
      <c r="A921" s="23" t="str">
        <v/>
      </c>
      <c r="B921" s="25" t="str">
        <v/>
      </c>
      <c r="C921" s="27" t="str">
        <v/>
      </c>
      <c r="D921" s="27" t="str">
        <v/>
      </c>
      <c r="E921" s="27" t="str">
        <v/>
      </c>
      <c r="F921" s="27" t="str">
        <v/>
      </c>
      <c r="G921" s="27" t="str">
        <v/>
      </c>
      <c r="H921" s="27" t="str">
        <v/>
      </c>
      <c r="I921" s="27" t="str">
        <v/>
      </c>
    </row>
    <row r="922" spans="1:9" x14ac:dyDescent="0.2">
      <c r="A922" s="23" t="str">
        <v/>
      </c>
      <c r="B922" s="25" t="str">
        <v/>
      </c>
      <c r="C922" s="27" t="str">
        <v/>
      </c>
      <c r="D922" s="27" t="str">
        <v/>
      </c>
      <c r="E922" s="27" t="str">
        <v/>
      </c>
      <c r="F922" s="27" t="str">
        <v/>
      </c>
      <c r="G922" s="27" t="str">
        <v/>
      </c>
      <c r="H922" s="27" t="str">
        <v/>
      </c>
      <c r="I922" s="27" t="str">
        <v/>
      </c>
    </row>
    <row r="923" spans="1:9" x14ac:dyDescent="0.2">
      <c r="A923" s="23" t="str">
        <v/>
      </c>
      <c r="B923" s="25" t="str">
        <v/>
      </c>
      <c r="C923" s="27" t="str">
        <v/>
      </c>
      <c r="D923" s="27" t="str">
        <v/>
      </c>
      <c r="E923" s="27" t="str">
        <v/>
      </c>
      <c r="F923" s="27" t="str">
        <v/>
      </c>
      <c r="G923" s="27" t="str">
        <v/>
      </c>
      <c r="H923" s="27" t="str">
        <v/>
      </c>
      <c r="I923" s="27" t="str">
        <v/>
      </c>
    </row>
    <row r="924" spans="1:9" x14ac:dyDescent="0.2">
      <c r="A924" s="23" t="str">
        <v/>
      </c>
      <c r="B924" s="25" t="str">
        <v/>
      </c>
      <c r="C924" s="27" t="str">
        <v/>
      </c>
      <c r="D924" s="27" t="str">
        <v/>
      </c>
      <c r="E924" s="27" t="str">
        <v/>
      </c>
      <c r="F924" s="27" t="str">
        <v/>
      </c>
      <c r="G924" s="27" t="str">
        <v/>
      </c>
      <c r="H924" s="27" t="str">
        <v/>
      </c>
      <c r="I924" s="27" t="str">
        <v/>
      </c>
    </row>
    <row r="925" spans="1:9" x14ac:dyDescent="0.2">
      <c r="A925" s="23" t="str">
        <v/>
      </c>
      <c r="B925" s="25" t="str">
        <v/>
      </c>
      <c r="C925" s="27" t="str">
        <v/>
      </c>
      <c r="D925" s="27" t="str">
        <v/>
      </c>
      <c r="E925" s="27" t="str">
        <v/>
      </c>
      <c r="F925" s="27" t="str">
        <v/>
      </c>
      <c r="G925" s="27" t="str">
        <v/>
      </c>
      <c r="H925" s="27" t="str">
        <v/>
      </c>
      <c r="I925" s="27" t="str">
        <v/>
      </c>
    </row>
    <row r="926" spans="1:9" x14ac:dyDescent="0.2">
      <c r="A926" s="23" t="str">
        <v/>
      </c>
      <c r="B926" s="25" t="str">
        <v/>
      </c>
      <c r="C926" s="27" t="str">
        <v/>
      </c>
      <c r="D926" s="27" t="str">
        <v/>
      </c>
      <c r="E926" s="27" t="str">
        <v/>
      </c>
      <c r="F926" s="27" t="str">
        <v/>
      </c>
      <c r="G926" s="27" t="str">
        <v/>
      </c>
      <c r="H926" s="27" t="str">
        <v/>
      </c>
      <c r="I926" s="27" t="str">
        <v/>
      </c>
    </row>
    <row r="927" spans="1:9" x14ac:dyDescent="0.2">
      <c r="A927" s="23" t="str">
        <v/>
      </c>
      <c r="B927" s="25" t="str">
        <v/>
      </c>
      <c r="C927" s="27" t="str">
        <v/>
      </c>
      <c r="D927" s="27" t="str">
        <v/>
      </c>
      <c r="E927" s="27" t="str">
        <v/>
      </c>
      <c r="F927" s="27" t="str">
        <v/>
      </c>
      <c r="G927" s="27" t="str">
        <v/>
      </c>
      <c r="H927" s="27" t="str">
        <v/>
      </c>
      <c r="I927" s="27" t="str">
        <v/>
      </c>
    </row>
    <row r="928" spans="1:9" x14ac:dyDescent="0.2">
      <c r="A928" s="23" t="str">
        <v/>
      </c>
      <c r="B928" s="25" t="str">
        <v/>
      </c>
      <c r="C928" s="27" t="str">
        <v/>
      </c>
      <c r="D928" s="27" t="str">
        <v/>
      </c>
      <c r="E928" s="27" t="str">
        <v/>
      </c>
      <c r="F928" s="27" t="str">
        <v/>
      </c>
      <c r="G928" s="27" t="str">
        <v/>
      </c>
      <c r="H928" s="27" t="str">
        <v/>
      </c>
      <c r="I928" s="27" t="str">
        <v/>
      </c>
    </row>
    <row r="929" spans="1:9" x14ac:dyDescent="0.2">
      <c r="A929" s="23" t="str">
        <v/>
      </c>
      <c r="B929" s="25" t="str">
        <v/>
      </c>
      <c r="C929" s="27" t="str">
        <v/>
      </c>
      <c r="D929" s="27" t="str">
        <v/>
      </c>
      <c r="E929" s="27" t="str">
        <v/>
      </c>
      <c r="F929" s="27" t="str">
        <v/>
      </c>
      <c r="G929" s="27" t="str">
        <v/>
      </c>
      <c r="H929" s="27" t="str">
        <v/>
      </c>
      <c r="I929" s="27" t="str">
        <v/>
      </c>
    </row>
    <row r="930" spans="1:9" x14ac:dyDescent="0.2">
      <c r="A930" s="23" t="str">
        <v/>
      </c>
      <c r="B930" s="25" t="str">
        <v/>
      </c>
      <c r="C930" s="27" t="str">
        <v/>
      </c>
      <c r="D930" s="27" t="str">
        <v/>
      </c>
      <c r="E930" s="27" t="str">
        <v/>
      </c>
      <c r="F930" s="27" t="str">
        <v/>
      </c>
      <c r="G930" s="27" t="str">
        <v/>
      </c>
      <c r="H930" s="27" t="str">
        <v/>
      </c>
      <c r="I930" s="27" t="str">
        <v/>
      </c>
    </row>
    <row r="931" spans="1:9" x14ac:dyDescent="0.2">
      <c r="A931" s="23" t="str">
        <v/>
      </c>
      <c r="B931" s="25" t="str">
        <v/>
      </c>
      <c r="C931" s="27" t="str">
        <v/>
      </c>
      <c r="D931" s="27" t="str">
        <v/>
      </c>
      <c r="E931" s="27" t="str">
        <v/>
      </c>
      <c r="F931" s="27" t="str">
        <v/>
      </c>
      <c r="G931" s="27" t="str">
        <v/>
      </c>
      <c r="H931" s="27" t="str">
        <v/>
      </c>
      <c r="I931" s="27" t="str">
        <v/>
      </c>
    </row>
    <row r="932" spans="1:9" x14ac:dyDescent="0.2">
      <c r="A932" s="23" t="str">
        <v/>
      </c>
      <c r="B932" s="25" t="str">
        <v/>
      </c>
      <c r="C932" s="27" t="str">
        <v/>
      </c>
      <c r="D932" s="27" t="str">
        <v/>
      </c>
      <c r="E932" s="27" t="str">
        <v/>
      </c>
      <c r="F932" s="27" t="str">
        <v/>
      </c>
      <c r="G932" s="27" t="str">
        <v/>
      </c>
      <c r="H932" s="27" t="str">
        <v/>
      </c>
      <c r="I932" s="27" t="str">
        <v/>
      </c>
    </row>
    <row r="933" spans="1:9" x14ac:dyDescent="0.2">
      <c r="A933" s="23" t="str">
        <v/>
      </c>
      <c r="B933" s="25" t="str">
        <v/>
      </c>
      <c r="C933" s="27" t="str">
        <v/>
      </c>
      <c r="D933" s="27" t="str">
        <v/>
      </c>
      <c r="E933" s="27" t="str">
        <v/>
      </c>
      <c r="F933" s="27" t="str">
        <v/>
      </c>
      <c r="G933" s="27" t="str">
        <v/>
      </c>
      <c r="H933" s="27" t="str">
        <v/>
      </c>
      <c r="I933" s="27" t="str">
        <v/>
      </c>
    </row>
    <row r="934" spans="1:9" x14ac:dyDescent="0.2">
      <c r="A934" s="23" t="str">
        <v/>
      </c>
      <c r="B934" s="25" t="str">
        <v/>
      </c>
      <c r="C934" s="27" t="str">
        <v/>
      </c>
      <c r="D934" s="27" t="str">
        <v/>
      </c>
      <c r="E934" s="27" t="str">
        <v/>
      </c>
      <c r="F934" s="27" t="str">
        <v/>
      </c>
      <c r="G934" s="27" t="str">
        <v/>
      </c>
      <c r="H934" s="27" t="str">
        <v/>
      </c>
      <c r="I934" s="27" t="str">
        <v/>
      </c>
    </row>
    <row r="935" spans="1:9" x14ac:dyDescent="0.2">
      <c r="A935" s="23" t="str">
        <v/>
      </c>
      <c r="B935" s="25" t="str">
        <v/>
      </c>
      <c r="C935" s="27" t="str">
        <v/>
      </c>
      <c r="D935" s="27" t="str">
        <v/>
      </c>
      <c r="E935" s="27" t="str">
        <v/>
      </c>
      <c r="F935" s="27" t="str">
        <v/>
      </c>
      <c r="G935" s="27" t="str">
        <v/>
      </c>
      <c r="H935" s="27" t="str">
        <v/>
      </c>
      <c r="I935" s="27" t="str">
        <v/>
      </c>
    </row>
    <row r="936" spans="1:9" x14ac:dyDescent="0.2">
      <c r="A936" s="23" t="str">
        <v/>
      </c>
      <c r="B936" s="25" t="str">
        <v/>
      </c>
      <c r="C936" s="27" t="str">
        <v/>
      </c>
      <c r="D936" s="27" t="str">
        <v/>
      </c>
      <c r="E936" s="27" t="str">
        <v/>
      </c>
      <c r="F936" s="27" t="str">
        <v/>
      </c>
      <c r="G936" s="27" t="str">
        <v/>
      </c>
      <c r="H936" s="27" t="str">
        <v/>
      </c>
      <c r="I936" s="27" t="str">
        <v/>
      </c>
    </row>
    <row r="937" spans="1:9" x14ac:dyDescent="0.2">
      <c r="A937" s="23" t="str">
        <v/>
      </c>
      <c r="B937" s="25" t="str">
        <v/>
      </c>
      <c r="C937" s="27" t="str">
        <v/>
      </c>
      <c r="D937" s="27" t="str">
        <v/>
      </c>
      <c r="E937" s="27" t="str">
        <v/>
      </c>
      <c r="F937" s="27" t="str">
        <v/>
      </c>
      <c r="G937" s="27" t="str">
        <v/>
      </c>
      <c r="H937" s="27" t="str">
        <v/>
      </c>
      <c r="I937" s="27" t="str">
        <v/>
      </c>
    </row>
    <row r="938" spans="1:9" x14ac:dyDescent="0.2">
      <c r="A938" s="23" t="str">
        <v/>
      </c>
      <c r="B938" s="25" t="str">
        <v/>
      </c>
      <c r="C938" s="27" t="str">
        <v/>
      </c>
      <c r="D938" s="27" t="str">
        <v/>
      </c>
      <c r="E938" s="27" t="str">
        <v/>
      </c>
      <c r="F938" s="27" t="str">
        <v/>
      </c>
      <c r="G938" s="27" t="str">
        <v/>
      </c>
      <c r="H938" s="27" t="str">
        <v/>
      </c>
      <c r="I938" s="27" t="str">
        <v/>
      </c>
    </row>
    <row r="939" spans="1:9" x14ac:dyDescent="0.2">
      <c r="A939" s="23" t="str">
        <v/>
      </c>
      <c r="B939" s="25" t="str">
        <v/>
      </c>
      <c r="C939" s="27" t="str">
        <v/>
      </c>
      <c r="D939" s="27" t="str">
        <v/>
      </c>
      <c r="E939" s="27" t="str">
        <v/>
      </c>
      <c r="F939" s="27" t="str">
        <v/>
      </c>
      <c r="G939" s="27" t="str">
        <v/>
      </c>
      <c r="H939" s="27" t="str">
        <v/>
      </c>
      <c r="I939" s="27" t="str">
        <v/>
      </c>
    </row>
    <row r="940" spans="1:9" x14ac:dyDescent="0.2">
      <c r="A940" s="23" t="str">
        <v/>
      </c>
      <c r="B940" s="25" t="str">
        <v/>
      </c>
      <c r="C940" s="27" t="str">
        <v/>
      </c>
      <c r="D940" s="27" t="str">
        <v/>
      </c>
      <c r="E940" s="27" t="str">
        <v/>
      </c>
      <c r="F940" s="27" t="str">
        <v/>
      </c>
      <c r="G940" s="27" t="str">
        <v/>
      </c>
      <c r="H940" s="27" t="str">
        <v/>
      </c>
      <c r="I940" s="27" t="str">
        <v/>
      </c>
    </row>
    <row r="941" spans="1:9" x14ac:dyDescent="0.2">
      <c r="A941" s="23" t="str">
        <v/>
      </c>
      <c r="B941" s="25" t="str">
        <v/>
      </c>
      <c r="C941" s="27" t="str">
        <v/>
      </c>
      <c r="D941" s="27" t="str">
        <v/>
      </c>
      <c r="E941" s="27" t="str">
        <v/>
      </c>
      <c r="F941" s="27" t="str">
        <v/>
      </c>
      <c r="G941" s="27" t="str">
        <v/>
      </c>
      <c r="H941" s="27" t="str">
        <v/>
      </c>
      <c r="I941" s="27" t="str">
        <v/>
      </c>
    </row>
    <row r="942" spans="1:9" x14ac:dyDescent="0.2">
      <c r="A942" s="23" t="str">
        <v/>
      </c>
      <c r="B942" s="25" t="str">
        <v/>
      </c>
      <c r="C942" s="27" t="str">
        <v/>
      </c>
      <c r="D942" s="27" t="str">
        <v/>
      </c>
      <c r="E942" s="27" t="str">
        <v/>
      </c>
      <c r="F942" s="27" t="str">
        <v/>
      </c>
      <c r="G942" s="27" t="str">
        <v/>
      </c>
      <c r="H942" s="27" t="str">
        <v/>
      </c>
      <c r="I942" s="27" t="str">
        <v/>
      </c>
    </row>
    <row r="943" spans="1:9" x14ac:dyDescent="0.2">
      <c r="A943" s="23" t="str">
        <v/>
      </c>
      <c r="B943" s="25" t="str">
        <v/>
      </c>
      <c r="C943" s="27" t="str">
        <v/>
      </c>
      <c r="D943" s="27" t="str">
        <v/>
      </c>
      <c r="E943" s="27" t="str">
        <v/>
      </c>
      <c r="F943" s="27" t="str">
        <v/>
      </c>
      <c r="G943" s="27" t="str">
        <v/>
      </c>
      <c r="H943" s="27" t="str">
        <v/>
      </c>
      <c r="I943" s="27" t="str">
        <v/>
      </c>
    </row>
    <row r="944" spans="1:9" x14ac:dyDescent="0.2">
      <c r="A944" s="23" t="str">
        <v/>
      </c>
      <c r="B944" s="25" t="str">
        <v/>
      </c>
      <c r="C944" s="27" t="str">
        <v/>
      </c>
      <c r="D944" s="27" t="str">
        <v/>
      </c>
      <c r="E944" s="27" t="str">
        <v/>
      </c>
      <c r="F944" s="27" t="str">
        <v/>
      </c>
      <c r="G944" s="27" t="str">
        <v/>
      </c>
      <c r="H944" s="27" t="str">
        <v/>
      </c>
      <c r="I944" s="27" t="str">
        <v/>
      </c>
    </row>
    <row r="945" spans="1:9" x14ac:dyDescent="0.2">
      <c r="A945" s="23" t="str">
        <v/>
      </c>
      <c r="B945" s="25" t="str">
        <v/>
      </c>
      <c r="C945" s="27" t="str">
        <v/>
      </c>
      <c r="D945" s="27" t="str">
        <v/>
      </c>
      <c r="E945" s="27" t="str">
        <v/>
      </c>
      <c r="F945" s="27" t="str">
        <v/>
      </c>
      <c r="G945" s="27" t="str">
        <v/>
      </c>
      <c r="H945" s="27" t="str">
        <v/>
      </c>
      <c r="I945" s="27" t="str">
        <v/>
      </c>
    </row>
    <row r="946" spans="1:9" x14ac:dyDescent="0.2">
      <c r="A946" s="23" t="str">
        <v/>
      </c>
      <c r="B946" s="25" t="str">
        <v/>
      </c>
      <c r="C946" s="27" t="str">
        <v/>
      </c>
      <c r="D946" s="27" t="str">
        <v/>
      </c>
      <c r="E946" s="27" t="str">
        <v/>
      </c>
      <c r="F946" s="27" t="str">
        <v/>
      </c>
      <c r="G946" s="27" t="str">
        <v/>
      </c>
      <c r="H946" s="27" t="str">
        <v/>
      </c>
      <c r="I946" s="27" t="str">
        <v/>
      </c>
    </row>
    <row r="947" spans="1:9" x14ac:dyDescent="0.2">
      <c r="A947" s="23" t="str">
        <v/>
      </c>
      <c r="B947" s="25" t="str">
        <v/>
      </c>
      <c r="C947" s="27" t="str">
        <v/>
      </c>
      <c r="D947" s="27" t="str">
        <v/>
      </c>
      <c r="E947" s="27" t="str">
        <v/>
      </c>
      <c r="F947" s="27" t="str">
        <v/>
      </c>
      <c r="G947" s="27" t="str">
        <v/>
      </c>
      <c r="H947" s="27" t="str">
        <v/>
      </c>
      <c r="I947" s="27" t="str">
        <v/>
      </c>
    </row>
    <row r="948" spans="1:9" x14ac:dyDescent="0.2">
      <c r="A948" s="23" t="str">
        <v/>
      </c>
      <c r="B948" s="25" t="str">
        <v/>
      </c>
      <c r="C948" s="27" t="str">
        <v/>
      </c>
      <c r="D948" s="27" t="str">
        <v/>
      </c>
      <c r="E948" s="27" t="str">
        <v/>
      </c>
      <c r="F948" s="27" t="str">
        <v/>
      </c>
      <c r="G948" s="27" t="str">
        <v/>
      </c>
      <c r="H948" s="27" t="str">
        <v/>
      </c>
      <c r="I948" s="27" t="str">
        <v/>
      </c>
    </row>
    <row r="949" spans="1:9" x14ac:dyDescent="0.2">
      <c r="A949" s="23" t="str">
        <v/>
      </c>
      <c r="B949" s="25" t="str">
        <v/>
      </c>
      <c r="C949" s="27" t="str">
        <v/>
      </c>
      <c r="D949" s="27" t="str">
        <v/>
      </c>
      <c r="E949" s="27" t="str">
        <v/>
      </c>
      <c r="F949" s="27" t="str">
        <v/>
      </c>
      <c r="G949" s="27" t="str">
        <v/>
      </c>
      <c r="H949" s="27" t="str">
        <v/>
      </c>
      <c r="I949" s="27" t="str">
        <v/>
      </c>
    </row>
    <row r="950" spans="1:9" x14ac:dyDescent="0.2">
      <c r="A950" s="23" t="str">
        <v/>
      </c>
      <c r="B950" s="25" t="str">
        <v/>
      </c>
      <c r="C950" s="27" t="str">
        <v/>
      </c>
      <c r="D950" s="27" t="str">
        <v/>
      </c>
      <c r="E950" s="27" t="str">
        <v/>
      </c>
      <c r="F950" s="27" t="str">
        <v/>
      </c>
      <c r="G950" s="27" t="str">
        <v/>
      </c>
      <c r="H950" s="27" t="str">
        <v/>
      </c>
      <c r="I950" s="27" t="str">
        <v/>
      </c>
    </row>
    <row r="951" spans="1:9" x14ac:dyDescent="0.2">
      <c r="A951" s="23" t="str">
        <v/>
      </c>
      <c r="B951" s="25" t="str">
        <v/>
      </c>
      <c r="C951" s="27" t="str">
        <v/>
      </c>
      <c r="D951" s="27" t="str">
        <v/>
      </c>
      <c r="E951" s="27" t="str">
        <v/>
      </c>
      <c r="F951" s="27" t="str">
        <v/>
      </c>
      <c r="G951" s="27" t="str">
        <v/>
      </c>
      <c r="H951" s="27" t="str">
        <v/>
      </c>
      <c r="I951" s="27" t="str">
        <v/>
      </c>
    </row>
    <row r="952" spans="1:9" x14ac:dyDescent="0.2">
      <c r="A952" s="23" t="str">
        <v/>
      </c>
      <c r="B952" s="25" t="str">
        <v/>
      </c>
      <c r="C952" s="27" t="str">
        <v/>
      </c>
      <c r="D952" s="27" t="str">
        <v/>
      </c>
      <c r="E952" s="27" t="str">
        <v/>
      </c>
      <c r="F952" s="27" t="str">
        <v/>
      </c>
      <c r="G952" s="27" t="str">
        <v/>
      </c>
      <c r="H952" s="27" t="str">
        <v/>
      </c>
      <c r="I952" s="27" t="str">
        <v/>
      </c>
    </row>
    <row r="953" spans="1:9" x14ac:dyDescent="0.2">
      <c r="A953" s="23" t="str">
        <v/>
      </c>
      <c r="B953" s="25" t="str">
        <v/>
      </c>
      <c r="C953" s="27" t="str">
        <v/>
      </c>
      <c r="D953" s="27" t="str">
        <v/>
      </c>
      <c r="E953" s="27" t="str">
        <v/>
      </c>
      <c r="F953" s="27" t="str">
        <v/>
      </c>
      <c r="G953" s="27" t="str">
        <v/>
      </c>
      <c r="H953" s="27" t="str">
        <v/>
      </c>
      <c r="I953" s="27" t="str">
        <v/>
      </c>
    </row>
    <row r="954" spans="1:9" x14ac:dyDescent="0.2">
      <c r="A954" s="23" t="str">
        <v/>
      </c>
      <c r="B954" s="25" t="str">
        <v/>
      </c>
      <c r="C954" s="27" t="str">
        <v/>
      </c>
      <c r="D954" s="27" t="str">
        <v/>
      </c>
      <c r="E954" s="27" t="str">
        <v/>
      </c>
      <c r="F954" s="27" t="str">
        <v/>
      </c>
      <c r="G954" s="27" t="str">
        <v/>
      </c>
      <c r="H954" s="27" t="str">
        <v/>
      </c>
      <c r="I954" s="27" t="str">
        <v/>
      </c>
    </row>
    <row r="955" spans="1:9" x14ac:dyDescent="0.2">
      <c r="A955" s="23" t="str">
        <v/>
      </c>
      <c r="B955" s="25" t="str">
        <v/>
      </c>
      <c r="C955" s="27" t="str">
        <v/>
      </c>
      <c r="D955" s="27" t="str">
        <v/>
      </c>
      <c r="E955" s="27" t="str">
        <v/>
      </c>
      <c r="F955" s="27" t="str">
        <v/>
      </c>
      <c r="G955" s="27" t="str">
        <v/>
      </c>
      <c r="H955" s="27" t="str">
        <v/>
      </c>
      <c r="I955" s="27" t="str">
        <v/>
      </c>
    </row>
    <row r="956" spans="1:9" x14ac:dyDescent="0.2">
      <c r="A956" s="23" t="str">
        <v/>
      </c>
      <c r="B956" s="25" t="str">
        <v/>
      </c>
      <c r="C956" s="27" t="str">
        <v/>
      </c>
      <c r="D956" s="27" t="str">
        <v/>
      </c>
      <c r="E956" s="27" t="str">
        <v/>
      </c>
      <c r="F956" s="27" t="str">
        <v/>
      </c>
      <c r="G956" s="27" t="str">
        <v/>
      </c>
      <c r="H956" s="27" t="str">
        <v/>
      </c>
      <c r="I956" s="27" t="str">
        <v/>
      </c>
    </row>
    <row r="957" spans="1:9" x14ac:dyDescent="0.2">
      <c r="A957" s="23" t="str">
        <v/>
      </c>
      <c r="B957" s="25" t="str">
        <v/>
      </c>
      <c r="C957" s="27" t="str">
        <v/>
      </c>
      <c r="D957" s="27" t="str">
        <v/>
      </c>
      <c r="E957" s="27" t="str">
        <v/>
      </c>
      <c r="F957" s="27" t="str">
        <v/>
      </c>
      <c r="G957" s="27" t="str">
        <v/>
      </c>
      <c r="H957" s="27" t="str">
        <v/>
      </c>
      <c r="I957" s="27" t="str">
        <v/>
      </c>
    </row>
    <row r="958" spans="1:9" x14ac:dyDescent="0.2">
      <c r="A958" s="23" t="str">
        <v/>
      </c>
      <c r="B958" s="25" t="str">
        <v/>
      </c>
      <c r="C958" s="27" t="str">
        <v/>
      </c>
      <c r="D958" s="27" t="str">
        <v/>
      </c>
      <c r="E958" s="27" t="str">
        <v/>
      </c>
      <c r="F958" s="27" t="str">
        <v/>
      </c>
      <c r="G958" s="27" t="str">
        <v/>
      </c>
      <c r="H958" s="27" t="str">
        <v/>
      </c>
      <c r="I958" s="27" t="str">
        <v/>
      </c>
    </row>
    <row r="959" spans="1:9" x14ac:dyDescent="0.2">
      <c r="A959" s="23" t="str">
        <v/>
      </c>
      <c r="B959" s="25" t="str">
        <v/>
      </c>
      <c r="C959" s="27" t="str">
        <v/>
      </c>
      <c r="D959" s="27" t="str">
        <v/>
      </c>
      <c r="E959" s="27" t="str">
        <v/>
      </c>
      <c r="F959" s="27" t="str">
        <v/>
      </c>
      <c r="G959" s="27" t="str">
        <v/>
      </c>
      <c r="H959" s="27" t="str">
        <v/>
      </c>
      <c r="I959" s="27" t="str">
        <v/>
      </c>
    </row>
    <row r="960" spans="1:9" x14ac:dyDescent="0.2">
      <c r="A960" s="23" t="str">
        <v/>
      </c>
      <c r="B960" s="25" t="str">
        <v/>
      </c>
      <c r="C960" s="27" t="str">
        <v/>
      </c>
      <c r="D960" s="27" t="str">
        <v/>
      </c>
      <c r="E960" s="27" t="str">
        <v/>
      </c>
      <c r="F960" s="27" t="str">
        <v/>
      </c>
      <c r="G960" s="27" t="str">
        <v/>
      </c>
      <c r="H960" s="27" t="str">
        <v/>
      </c>
      <c r="I960" s="27" t="str">
        <v/>
      </c>
    </row>
    <row r="961" spans="1:9" x14ac:dyDescent="0.2">
      <c r="A961" s="23" t="str">
        <v/>
      </c>
      <c r="B961" s="25" t="str">
        <v/>
      </c>
      <c r="C961" s="27" t="str">
        <v/>
      </c>
      <c r="D961" s="27" t="str">
        <v/>
      </c>
      <c r="E961" s="27" t="str">
        <v/>
      </c>
      <c r="F961" s="27" t="str">
        <v/>
      </c>
      <c r="G961" s="27" t="str">
        <v/>
      </c>
      <c r="H961" s="27" t="str">
        <v/>
      </c>
      <c r="I961" s="27" t="str">
        <v/>
      </c>
    </row>
    <row r="962" spans="1:9" x14ac:dyDescent="0.2">
      <c r="A962" s="23" t="str">
        <v/>
      </c>
      <c r="B962" s="25" t="str">
        <v/>
      </c>
      <c r="C962" s="27" t="str">
        <v/>
      </c>
      <c r="D962" s="27" t="str">
        <v/>
      </c>
      <c r="E962" s="27" t="str">
        <v/>
      </c>
      <c r="F962" s="27" t="str">
        <v/>
      </c>
      <c r="G962" s="27" t="str">
        <v/>
      </c>
      <c r="H962" s="27" t="str">
        <v/>
      </c>
      <c r="I962" s="27" t="str">
        <v/>
      </c>
    </row>
    <row r="963" spans="1:9" x14ac:dyDescent="0.2">
      <c r="A963" s="23" t="str">
        <v/>
      </c>
      <c r="B963" s="25" t="str">
        <v/>
      </c>
      <c r="C963" s="27" t="str">
        <v/>
      </c>
      <c r="D963" s="27" t="str">
        <v/>
      </c>
      <c r="E963" s="27" t="str">
        <v/>
      </c>
      <c r="F963" s="27" t="str">
        <v/>
      </c>
      <c r="G963" s="27" t="str">
        <v/>
      </c>
      <c r="H963" s="27" t="str">
        <v/>
      </c>
      <c r="I963" s="27" t="str">
        <v/>
      </c>
    </row>
    <row r="964" spans="1:9" x14ac:dyDescent="0.2">
      <c r="A964" s="23" t="str">
        <v/>
      </c>
      <c r="B964" s="25" t="str">
        <v/>
      </c>
      <c r="C964" s="27" t="str">
        <v/>
      </c>
      <c r="D964" s="27" t="str">
        <v/>
      </c>
      <c r="E964" s="27" t="str">
        <v/>
      </c>
      <c r="F964" s="27" t="str">
        <v/>
      </c>
      <c r="G964" s="27" t="str">
        <v/>
      </c>
      <c r="H964" s="27" t="str">
        <v/>
      </c>
      <c r="I964" s="27" t="str">
        <v/>
      </c>
    </row>
    <row r="965" spans="1:9" x14ac:dyDescent="0.2">
      <c r="A965" s="23" t="str">
        <v/>
      </c>
      <c r="B965" s="25" t="str">
        <v/>
      </c>
      <c r="C965" s="27" t="str">
        <v/>
      </c>
      <c r="D965" s="27" t="str">
        <v/>
      </c>
      <c r="E965" s="27" t="str">
        <v/>
      </c>
      <c r="F965" s="27" t="str">
        <v/>
      </c>
      <c r="G965" s="27" t="str">
        <v/>
      </c>
      <c r="H965" s="27" t="str">
        <v/>
      </c>
      <c r="I965" s="27" t="str">
        <v/>
      </c>
    </row>
    <row r="966" spans="1:9" x14ac:dyDescent="0.2">
      <c r="A966" s="23" t="str">
        <v/>
      </c>
      <c r="B966" s="25" t="str">
        <v/>
      </c>
      <c r="C966" s="27" t="str">
        <v/>
      </c>
      <c r="D966" s="27" t="str">
        <v/>
      </c>
      <c r="E966" s="27" t="str">
        <v/>
      </c>
      <c r="F966" s="27" t="str">
        <v/>
      </c>
      <c r="G966" s="27" t="str">
        <v/>
      </c>
      <c r="H966" s="27" t="str">
        <v/>
      </c>
      <c r="I966" s="27" t="str">
        <v/>
      </c>
    </row>
    <row r="967" spans="1:9" x14ac:dyDescent="0.2">
      <c r="A967" s="23" t="str">
        <v/>
      </c>
      <c r="B967" s="25" t="str">
        <v/>
      </c>
      <c r="C967" s="27" t="str">
        <v/>
      </c>
      <c r="D967" s="27" t="str">
        <v/>
      </c>
      <c r="E967" s="27" t="str">
        <v/>
      </c>
      <c r="F967" s="27" t="str">
        <v/>
      </c>
      <c r="G967" s="27" t="str">
        <v/>
      </c>
      <c r="H967" s="27" t="str">
        <v/>
      </c>
      <c r="I967" s="27" t="str">
        <v/>
      </c>
    </row>
    <row r="968" spans="1:9" x14ac:dyDescent="0.2">
      <c r="A968" s="23" t="str">
        <v/>
      </c>
      <c r="B968" s="25" t="str">
        <v/>
      </c>
      <c r="C968" s="27" t="str">
        <v/>
      </c>
      <c r="D968" s="27" t="str">
        <v/>
      </c>
      <c r="E968" s="27" t="str">
        <v/>
      </c>
      <c r="F968" s="27" t="str">
        <v/>
      </c>
      <c r="G968" s="27" t="str">
        <v/>
      </c>
      <c r="H968" s="27" t="str">
        <v/>
      </c>
      <c r="I968" s="27" t="str">
        <v/>
      </c>
    </row>
    <row r="969" spans="1:9" x14ac:dyDescent="0.2">
      <c r="A969" s="23" t="str">
        <v/>
      </c>
      <c r="B969" s="25" t="str">
        <v/>
      </c>
      <c r="C969" s="27" t="str">
        <v/>
      </c>
      <c r="D969" s="27" t="str">
        <v/>
      </c>
      <c r="E969" s="27" t="str">
        <v/>
      </c>
      <c r="F969" s="27" t="str">
        <v/>
      </c>
      <c r="G969" s="27" t="str">
        <v/>
      </c>
      <c r="H969" s="27" t="str">
        <v/>
      </c>
      <c r="I969" s="27" t="str">
        <v/>
      </c>
    </row>
    <row r="970" spans="1:9" x14ac:dyDescent="0.2">
      <c r="A970" s="23" t="str">
        <v/>
      </c>
      <c r="B970" s="25" t="str">
        <v/>
      </c>
      <c r="C970" s="27" t="str">
        <v/>
      </c>
      <c r="D970" s="27" t="str">
        <v/>
      </c>
      <c r="E970" s="27" t="str">
        <v/>
      </c>
      <c r="F970" s="27" t="str">
        <v/>
      </c>
      <c r="G970" s="27" t="str">
        <v/>
      </c>
      <c r="H970" s="27" t="str">
        <v/>
      </c>
      <c r="I970" s="27" t="str">
        <v/>
      </c>
    </row>
    <row r="971" spans="1:9" x14ac:dyDescent="0.2">
      <c r="A971" s="23" t="str">
        <v/>
      </c>
      <c r="B971" s="25" t="str">
        <v/>
      </c>
      <c r="C971" s="27" t="str">
        <v/>
      </c>
      <c r="D971" s="27" t="str">
        <v/>
      </c>
      <c r="E971" s="27" t="str">
        <v/>
      </c>
      <c r="F971" s="27" t="str">
        <v/>
      </c>
      <c r="G971" s="27" t="str">
        <v/>
      </c>
      <c r="H971" s="27" t="str">
        <v/>
      </c>
      <c r="I971" s="27" t="str">
        <v/>
      </c>
    </row>
    <row r="972" spans="1:9" x14ac:dyDescent="0.2">
      <c r="A972" s="23" t="str">
        <v/>
      </c>
      <c r="B972" s="25" t="str">
        <v/>
      </c>
      <c r="C972" s="27" t="str">
        <v/>
      </c>
      <c r="D972" s="27" t="str">
        <v/>
      </c>
      <c r="E972" s="27" t="str">
        <v/>
      </c>
      <c r="F972" s="27" t="str">
        <v/>
      </c>
      <c r="G972" s="27" t="str">
        <v/>
      </c>
      <c r="H972" s="27" t="str">
        <v/>
      </c>
      <c r="I972" s="27" t="str">
        <v/>
      </c>
    </row>
    <row r="973" spans="1:9" x14ac:dyDescent="0.2">
      <c r="A973" s="23" t="str">
        <v/>
      </c>
      <c r="B973" s="25" t="str">
        <v/>
      </c>
      <c r="C973" s="27" t="str">
        <v/>
      </c>
      <c r="D973" s="27" t="str">
        <v/>
      </c>
      <c r="E973" s="27" t="str">
        <v/>
      </c>
      <c r="F973" s="27" t="str">
        <v/>
      </c>
      <c r="G973" s="27" t="str">
        <v/>
      </c>
      <c r="H973" s="27" t="str">
        <v/>
      </c>
      <c r="I973" s="27" t="str">
        <v/>
      </c>
    </row>
    <row r="974" spans="1:9" x14ac:dyDescent="0.2">
      <c r="A974" s="23" t="str">
        <v/>
      </c>
      <c r="B974" s="25" t="str">
        <v/>
      </c>
      <c r="C974" s="27" t="str">
        <v/>
      </c>
      <c r="D974" s="27" t="str">
        <v/>
      </c>
      <c r="E974" s="27" t="str">
        <v/>
      </c>
      <c r="F974" s="27" t="str">
        <v/>
      </c>
      <c r="G974" s="27" t="str">
        <v/>
      </c>
      <c r="H974" s="27" t="str">
        <v/>
      </c>
      <c r="I974" s="27" t="str">
        <v/>
      </c>
    </row>
    <row r="975" spans="1:9" x14ac:dyDescent="0.2">
      <c r="A975" s="23" t="str">
        <v/>
      </c>
      <c r="B975" s="25" t="str">
        <v/>
      </c>
      <c r="C975" s="27" t="str">
        <v/>
      </c>
      <c r="D975" s="27" t="str">
        <v/>
      </c>
      <c r="E975" s="27" t="str">
        <v/>
      </c>
      <c r="F975" s="27" t="str">
        <v/>
      </c>
      <c r="G975" s="27" t="str">
        <v/>
      </c>
      <c r="H975" s="27" t="str">
        <v/>
      </c>
      <c r="I975" s="27" t="str">
        <v/>
      </c>
    </row>
    <row r="976" spans="1:9" x14ac:dyDescent="0.2">
      <c r="A976" s="23" t="str">
        <v/>
      </c>
      <c r="B976" s="25" t="str">
        <v/>
      </c>
      <c r="C976" s="27" t="str">
        <v/>
      </c>
      <c r="D976" s="27" t="str">
        <v/>
      </c>
      <c r="E976" s="27" t="str">
        <v/>
      </c>
      <c r="F976" s="27" t="str">
        <v/>
      </c>
      <c r="G976" s="27" t="str">
        <v/>
      </c>
      <c r="H976" s="27" t="str">
        <v/>
      </c>
      <c r="I976" s="27" t="str">
        <v/>
      </c>
    </row>
    <row r="977" spans="1:9" x14ac:dyDescent="0.2">
      <c r="A977" s="23" t="str">
        <v/>
      </c>
      <c r="B977" s="25" t="str">
        <v/>
      </c>
      <c r="C977" s="27" t="str">
        <v/>
      </c>
      <c r="D977" s="27" t="str">
        <v/>
      </c>
      <c r="E977" s="27" t="str">
        <v/>
      </c>
      <c r="F977" s="27" t="str">
        <v/>
      </c>
      <c r="G977" s="27" t="str">
        <v/>
      </c>
      <c r="H977" s="27" t="str">
        <v/>
      </c>
      <c r="I977" s="27" t="str">
        <v/>
      </c>
    </row>
    <row r="978" spans="1:9" x14ac:dyDescent="0.2">
      <c r="A978" s="23" t="str">
        <v/>
      </c>
      <c r="B978" s="25" t="str">
        <v/>
      </c>
      <c r="C978" s="27" t="str">
        <v/>
      </c>
      <c r="D978" s="27" t="str">
        <v/>
      </c>
      <c r="E978" s="27" t="str">
        <v/>
      </c>
      <c r="F978" s="27" t="str">
        <v/>
      </c>
      <c r="G978" s="27" t="str">
        <v/>
      </c>
      <c r="H978" s="27" t="str">
        <v/>
      </c>
      <c r="I978" s="27" t="str">
        <v/>
      </c>
    </row>
    <row r="979" spans="1:9" x14ac:dyDescent="0.2">
      <c r="A979" s="23" t="str">
        <v/>
      </c>
      <c r="B979" s="25" t="str">
        <v/>
      </c>
      <c r="C979" s="27" t="str">
        <v/>
      </c>
      <c r="D979" s="27" t="str">
        <v/>
      </c>
      <c r="E979" s="27" t="str">
        <v/>
      </c>
      <c r="F979" s="27" t="str">
        <v/>
      </c>
      <c r="G979" s="27" t="str">
        <v/>
      </c>
      <c r="H979" s="27" t="str">
        <v/>
      </c>
      <c r="I979" s="27" t="str">
        <v/>
      </c>
    </row>
    <row r="980" spans="1:9" x14ac:dyDescent="0.2">
      <c r="A980" s="23" t="str">
        <v/>
      </c>
      <c r="B980" s="25" t="str">
        <v/>
      </c>
      <c r="C980" s="27" t="str">
        <v/>
      </c>
      <c r="D980" s="27" t="str">
        <v/>
      </c>
      <c r="E980" s="27" t="str">
        <v/>
      </c>
      <c r="F980" s="27" t="str">
        <v/>
      </c>
      <c r="G980" s="27" t="str">
        <v/>
      </c>
      <c r="H980" s="27" t="str">
        <v/>
      </c>
      <c r="I980" s="27" t="str">
        <v/>
      </c>
    </row>
    <row r="981" spans="1:9" x14ac:dyDescent="0.2">
      <c r="A981" s="23" t="str">
        <v/>
      </c>
      <c r="B981" s="25" t="str">
        <v/>
      </c>
      <c r="C981" s="27" t="str">
        <v/>
      </c>
      <c r="D981" s="27" t="str">
        <v/>
      </c>
      <c r="E981" s="27" t="str">
        <v/>
      </c>
      <c r="F981" s="27" t="str">
        <v/>
      </c>
      <c r="G981" s="27" t="str">
        <v/>
      </c>
      <c r="H981" s="27" t="str">
        <v/>
      </c>
      <c r="I981" s="27" t="str">
        <v/>
      </c>
    </row>
    <row r="982" spans="1:9" x14ac:dyDescent="0.2">
      <c r="A982" s="23" t="str">
        <v/>
      </c>
      <c r="B982" s="25" t="str">
        <v/>
      </c>
      <c r="C982" s="27" t="str">
        <v/>
      </c>
      <c r="D982" s="27" t="str">
        <v/>
      </c>
      <c r="E982" s="27" t="str">
        <v/>
      </c>
      <c r="F982" s="27" t="str">
        <v/>
      </c>
      <c r="G982" s="27" t="str">
        <v/>
      </c>
      <c r="H982" s="27" t="str">
        <v/>
      </c>
      <c r="I982" s="27" t="str">
        <v/>
      </c>
    </row>
    <row r="983" spans="1:9" x14ac:dyDescent="0.2">
      <c r="A983" s="23" t="str">
        <v/>
      </c>
      <c r="B983" s="25" t="str">
        <v/>
      </c>
      <c r="C983" s="27" t="str">
        <v/>
      </c>
      <c r="D983" s="27" t="str">
        <v/>
      </c>
      <c r="E983" s="27" t="str">
        <v/>
      </c>
      <c r="F983" s="27" t="str">
        <v/>
      </c>
      <c r="G983" s="27" t="str">
        <v/>
      </c>
      <c r="H983" s="27" t="str">
        <v/>
      </c>
      <c r="I983" s="27" t="str">
        <v/>
      </c>
    </row>
    <row r="984" spans="1:9" x14ac:dyDescent="0.2">
      <c r="A984" s="23" t="str">
        <v/>
      </c>
      <c r="B984" s="25" t="str">
        <v/>
      </c>
      <c r="C984" s="27" t="str">
        <v/>
      </c>
      <c r="D984" s="27" t="str">
        <v/>
      </c>
      <c r="E984" s="27" t="str">
        <v/>
      </c>
      <c r="F984" s="27" t="str">
        <v/>
      </c>
      <c r="G984" s="27" t="str">
        <v/>
      </c>
      <c r="H984" s="27" t="str">
        <v/>
      </c>
      <c r="I984" s="27" t="str">
        <v/>
      </c>
    </row>
    <row r="985" spans="1:9" x14ac:dyDescent="0.2">
      <c r="A985" s="23" t="str">
        <v/>
      </c>
      <c r="B985" s="25" t="str">
        <v/>
      </c>
      <c r="C985" s="27" t="str">
        <v/>
      </c>
      <c r="D985" s="27" t="str">
        <v/>
      </c>
      <c r="E985" s="27" t="str">
        <v/>
      </c>
      <c r="F985" s="27" t="str">
        <v/>
      </c>
      <c r="G985" s="27" t="str">
        <v/>
      </c>
      <c r="H985" s="27" t="str">
        <v/>
      </c>
      <c r="I985" s="27" t="str">
        <v/>
      </c>
    </row>
    <row r="986" spans="1:9" x14ac:dyDescent="0.2">
      <c r="A986" s="23" t="str">
        <v/>
      </c>
      <c r="B986" s="25" t="str">
        <v/>
      </c>
      <c r="C986" s="27" t="str">
        <v/>
      </c>
      <c r="D986" s="27" t="str">
        <v/>
      </c>
      <c r="E986" s="27" t="str">
        <v/>
      </c>
      <c r="F986" s="27" t="str">
        <v/>
      </c>
      <c r="G986" s="27" t="str">
        <v/>
      </c>
      <c r="H986" s="27" t="str">
        <v/>
      </c>
      <c r="I986" s="27" t="str">
        <v/>
      </c>
    </row>
    <row r="987" spans="1:9" x14ac:dyDescent="0.2">
      <c r="A987" s="23" t="str">
        <v/>
      </c>
      <c r="B987" s="25" t="str">
        <v/>
      </c>
      <c r="C987" s="27" t="str">
        <v/>
      </c>
      <c r="D987" s="27" t="str">
        <v/>
      </c>
      <c r="E987" s="27" t="str">
        <v/>
      </c>
      <c r="F987" s="27" t="str">
        <v/>
      </c>
      <c r="G987" s="27" t="str">
        <v/>
      </c>
      <c r="H987" s="27" t="str">
        <v/>
      </c>
      <c r="I987" s="27" t="str">
        <v/>
      </c>
    </row>
    <row r="988" spans="1:9" x14ac:dyDescent="0.2">
      <c r="A988" s="23" t="str">
        <v/>
      </c>
      <c r="B988" s="25" t="str">
        <v/>
      </c>
      <c r="C988" s="27" t="str">
        <v/>
      </c>
      <c r="D988" s="27" t="str">
        <v/>
      </c>
      <c r="E988" s="27" t="str">
        <v/>
      </c>
      <c r="F988" s="27" t="str">
        <v/>
      </c>
      <c r="G988" s="27" t="str">
        <v/>
      </c>
      <c r="H988" s="27" t="str">
        <v/>
      </c>
      <c r="I988" s="27" t="str">
        <v/>
      </c>
    </row>
    <row r="989" spans="1:9" x14ac:dyDescent="0.2">
      <c r="A989" s="23" t="str">
        <v/>
      </c>
      <c r="B989" s="25" t="str">
        <v/>
      </c>
      <c r="C989" s="27" t="str">
        <v/>
      </c>
      <c r="D989" s="27" t="str">
        <v/>
      </c>
      <c r="E989" s="27" t="str">
        <v/>
      </c>
      <c r="F989" s="27" t="str">
        <v/>
      </c>
      <c r="G989" s="27" t="str">
        <v/>
      </c>
      <c r="H989" s="27" t="str">
        <v/>
      </c>
      <c r="I989" s="27" t="str">
        <v/>
      </c>
    </row>
    <row r="990" spans="1:9" x14ac:dyDescent="0.2">
      <c r="A990" s="23" t="str">
        <v/>
      </c>
      <c r="B990" s="25" t="str">
        <v/>
      </c>
      <c r="C990" s="27" t="str">
        <v/>
      </c>
      <c r="D990" s="27" t="str">
        <v/>
      </c>
      <c r="E990" s="27" t="str">
        <v/>
      </c>
      <c r="F990" s="27" t="str">
        <v/>
      </c>
      <c r="G990" s="27" t="str">
        <v/>
      </c>
      <c r="H990" s="27" t="str">
        <v/>
      </c>
      <c r="I990" s="27" t="str">
        <v/>
      </c>
    </row>
    <row r="991" spans="1:9" x14ac:dyDescent="0.2">
      <c r="A991" s="23" t="str">
        <v/>
      </c>
      <c r="B991" s="25" t="str">
        <v/>
      </c>
      <c r="C991" s="27" t="str">
        <v/>
      </c>
      <c r="D991" s="27" t="str">
        <v/>
      </c>
      <c r="E991" s="27" t="str">
        <v/>
      </c>
      <c r="F991" s="27" t="str">
        <v/>
      </c>
      <c r="G991" s="27" t="str">
        <v/>
      </c>
      <c r="H991" s="27" t="str">
        <v/>
      </c>
      <c r="I991" s="27" t="str">
        <v/>
      </c>
    </row>
    <row r="992" spans="1:9" x14ac:dyDescent="0.2">
      <c r="A992" s="23" t="str">
        <v/>
      </c>
      <c r="B992" s="25" t="str">
        <v/>
      </c>
      <c r="C992" s="27" t="str">
        <v/>
      </c>
      <c r="D992" s="27" t="str">
        <v/>
      </c>
      <c r="E992" s="27" t="str">
        <v/>
      </c>
      <c r="F992" s="27" t="str">
        <v/>
      </c>
      <c r="G992" s="27" t="str">
        <v/>
      </c>
      <c r="H992" s="27" t="str">
        <v/>
      </c>
      <c r="I992" s="27" t="str">
        <v/>
      </c>
    </row>
    <row r="993" spans="1:9" x14ac:dyDescent="0.2">
      <c r="A993" s="23" t="str">
        <v/>
      </c>
      <c r="B993" s="25" t="str">
        <v/>
      </c>
      <c r="C993" s="27" t="str">
        <v/>
      </c>
      <c r="D993" s="27" t="str">
        <v/>
      </c>
      <c r="E993" s="27" t="str">
        <v/>
      </c>
      <c r="F993" s="27" t="str">
        <v/>
      </c>
      <c r="G993" s="27" t="str">
        <v/>
      </c>
      <c r="H993" s="27" t="str">
        <v/>
      </c>
      <c r="I993" s="27" t="str">
        <v/>
      </c>
    </row>
    <row r="994" spans="1:9" x14ac:dyDescent="0.2">
      <c r="A994" s="23" t="str">
        <v/>
      </c>
      <c r="B994" s="25" t="str">
        <v/>
      </c>
      <c r="C994" s="27" t="str">
        <v/>
      </c>
      <c r="D994" s="27" t="str">
        <v/>
      </c>
      <c r="E994" s="27" t="str">
        <v/>
      </c>
      <c r="F994" s="27" t="str">
        <v/>
      </c>
      <c r="G994" s="27" t="str">
        <v/>
      </c>
      <c r="H994" s="27" t="str">
        <v/>
      </c>
      <c r="I994" s="27" t="str">
        <v/>
      </c>
    </row>
    <row r="995" spans="1:9" x14ac:dyDescent="0.2">
      <c r="A995" s="23" t="str">
        <v/>
      </c>
      <c r="B995" s="25" t="str">
        <v/>
      </c>
      <c r="C995" s="27" t="str">
        <v/>
      </c>
      <c r="D995" s="27" t="str">
        <v/>
      </c>
      <c r="E995" s="27" t="str">
        <v/>
      </c>
      <c r="F995" s="27" t="str">
        <v/>
      </c>
      <c r="G995" s="27" t="str">
        <v/>
      </c>
      <c r="H995" s="27" t="str">
        <v/>
      </c>
      <c r="I995" s="27" t="str">
        <v/>
      </c>
    </row>
    <row r="996" spans="1:9" x14ac:dyDescent="0.2">
      <c r="A996" s="23" t="str">
        <v/>
      </c>
      <c r="B996" s="25" t="str">
        <v/>
      </c>
      <c r="C996" s="27" t="str">
        <v/>
      </c>
      <c r="D996" s="27" t="str">
        <v/>
      </c>
      <c r="E996" s="27" t="str">
        <v/>
      </c>
      <c r="F996" s="27" t="str">
        <v/>
      </c>
      <c r="G996" s="27" t="str">
        <v/>
      </c>
      <c r="H996" s="27" t="str">
        <v/>
      </c>
      <c r="I996" s="27" t="str">
        <v/>
      </c>
    </row>
    <row r="997" spans="1:9" x14ac:dyDescent="0.2">
      <c r="A997" s="23" t="str">
        <v/>
      </c>
      <c r="B997" s="25" t="str">
        <v/>
      </c>
      <c r="C997" s="27" t="str">
        <v/>
      </c>
      <c r="D997" s="27" t="str">
        <v/>
      </c>
      <c r="E997" s="27" t="str">
        <v/>
      </c>
      <c r="F997" s="27" t="str">
        <v/>
      </c>
      <c r="G997" s="27" t="str">
        <v/>
      </c>
      <c r="H997" s="27" t="str">
        <v/>
      </c>
      <c r="I997" s="27" t="str">
        <v/>
      </c>
    </row>
    <row r="998" spans="1:9" x14ac:dyDescent="0.2">
      <c r="A998" s="23" t="str">
        <v/>
      </c>
      <c r="B998" s="25" t="str">
        <v/>
      </c>
      <c r="C998" s="27" t="str">
        <v/>
      </c>
      <c r="D998" s="27" t="str">
        <v/>
      </c>
      <c r="E998" s="27" t="str">
        <v/>
      </c>
      <c r="F998" s="27" t="str">
        <v/>
      </c>
      <c r="G998" s="27" t="str">
        <v/>
      </c>
      <c r="H998" s="27" t="str">
        <v/>
      </c>
      <c r="I998" s="27" t="str">
        <v/>
      </c>
    </row>
    <row r="999" spans="1:9" x14ac:dyDescent="0.2">
      <c r="A999" s="23" t="str">
        <v/>
      </c>
      <c r="B999" s="25" t="str">
        <v/>
      </c>
      <c r="C999" s="27" t="str">
        <v/>
      </c>
      <c r="D999" s="27" t="str">
        <v/>
      </c>
      <c r="E999" s="27" t="str">
        <v/>
      </c>
      <c r="F999" s="27" t="str">
        <v/>
      </c>
      <c r="G999" s="27" t="str">
        <v/>
      </c>
      <c r="H999" s="27" t="str">
        <v/>
      </c>
      <c r="I999" s="27" t="str">
        <v/>
      </c>
    </row>
    <row r="1000" spans="1:9" x14ac:dyDescent="0.2">
      <c r="A1000" s="23" t="str">
        <v/>
      </c>
      <c r="B1000" s="25" t="str">
        <v/>
      </c>
      <c r="C1000" s="27" t="str">
        <v/>
      </c>
      <c r="D1000" s="27" t="str">
        <v/>
      </c>
      <c r="E1000" s="27" t="str">
        <v/>
      </c>
      <c r="F1000" s="27" t="str">
        <v/>
      </c>
      <c r="G1000" s="27" t="str">
        <v/>
      </c>
      <c r="H1000" s="27" t="str">
        <v/>
      </c>
      <c r="I1000" s="27" t="str">
        <v/>
      </c>
    </row>
    <row r="1001" spans="1:9" x14ac:dyDescent="0.2">
      <c r="A1001" s="23" t="str">
        <v/>
      </c>
      <c r="B1001" s="25" t="str">
        <v/>
      </c>
      <c r="C1001" s="27" t="str">
        <v/>
      </c>
      <c r="D1001" s="27" t="str">
        <v/>
      </c>
      <c r="E1001" s="27" t="str">
        <v/>
      </c>
      <c r="F1001" s="27" t="str">
        <v/>
      </c>
      <c r="G1001" s="27" t="str">
        <v/>
      </c>
      <c r="H1001" s="27" t="str">
        <v/>
      </c>
      <c r="I1001" s="27" t="str">
        <v/>
      </c>
    </row>
    <row r="1002" spans="1:9" x14ac:dyDescent="0.2">
      <c r="A1002" s="23" t="str">
        <v/>
      </c>
      <c r="B1002" s="25" t="str">
        <v/>
      </c>
      <c r="C1002" s="27" t="str">
        <v/>
      </c>
      <c r="D1002" s="27" t="str">
        <v/>
      </c>
      <c r="E1002" s="27" t="str">
        <v/>
      </c>
      <c r="F1002" s="27" t="str">
        <v/>
      </c>
      <c r="G1002" s="27" t="str">
        <v/>
      </c>
      <c r="H1002" s="27" t="str">
        <v/>
      </c>
      <c r="I1002" s="27" t="str">
        <v/>
      </c>
    </row>
    <row r="1003" spans="1:9" x14ac:dyDescent="0.2">
      <c r="A1003" s="23" t="str">
        <v/>
      </c>
      <c r="B1003" s="25" t="str">
        <v/>
      </c>
      <c r="C1003" s="27" t="str">
        <v/>
      </c>
      <c r="D1003" s="27" t="str">
        <v/>
      </c>
      <c r="E1003" s="27" t="str">
        <v/>
      </c>
      <c r="F1003" s="27" t="str">
        <v/>
      </c>
      <c r="G1003" s="27" t="str">
        <v/>
      </c>
      <c r="H1003" s="27" t="str">
        <v/>
      </c>
      <c r="I1003" s="27" t="str">
        <v/>
      </c>
    </row>
    <row r="1004" spans="1:9" x14ac:dyDescent="0.2">
      <c r="A1004" s="23" t="str">
        <v/>
      </c>
      <c r="B1004" s="25" t="str">
        <v/>
      </c>
      <c r="C1004" s="27" t="str">
        <v/>
      </c>
      <c r="D1004" s="27" t="str">
        <v/>
      </c>
      <c r="E1004" s="27" t="str">
        <v/>
      </c>
      <c r="F1004" s="27" t="str">
        <v/>
      </c>
      <c r="G1004" s="27" t="str">
        <v/>
      </c>
      <c r="H1004" s="27" t="str">
        <v/>
      </c>
      <c r="I1004" s="27" t="str">
        <v/>
      </c>
    </row>
    <row r="1005" spans="1:9" x14ac:dyDescent="0.2">
      <c r="A1005" s="23" t="str">
        <v/>
      </c>
      <c r="B1005" s="25" t="str">
        <v/>
      </c>
      <c r="C1005" s="27" t="str">
        <v/>
      </c>
      <c r="D1005" s="27" t="str">
        <v/>
      </c>
      <c r="E1005" s="27" t="str">
        <v/>
      </c>
      <c r="F1005" s="27" t="str">
        <v/>
      </c>
      <c r="G1005" s="27" t="str">
        <v/>
      </c>
      <c r="H1005" s="27" t="str">
        <v/>
      </c>
      <c r="I1005" s="27" t="str">
        <v/>
      </c>
    </row>
    <row r="1006" spans="1:9" x14ac:dyDescent="0.2">
      <c r="A1006" s="23" t="str">
        <v/>
      </c>
      <c r="B1006" s="25" t="str">
        <v/>
      </c>
      <c r="C1006" s="27" t="str">
        <v/>
      </c>
      <c r="D1006" s="27" t="str">
        <v/>
      </c>
      <c r="E1006" s="27" t="str">
        <v/>
      </c>
      <c r="F1006" s="27" t="str">
        <v/>
      </c>
      <c r="G1006" s="27" t="str">
        <v/>
      </c>
      <c r="H1006" s="27" t="str">
        <v/>
      </c>
      <c r="I1006" s="27" t="str">
        <v/>
      </c>
    </row>
    <row r="1007" spans="1:9" x14ac:dyDescent="0.2">
      <c r="A1007" s="23" t="str">
        <v/>
      </c>
      <c r="B1007" s="25" t="str">
        <v/>
      </c>
      <c r="C1007" s="27" t="str">
        <v/>
      </c>
      <c r="D1007" s="27" t="str">
        <v/>
      </c>
      <c r="E1007" s="27" t="str">
        <v/>
      </c>
      <c r="F1007" s="27" t="str">
        <v/>
      </c>
      <c r="G1007" s="27" t="str">
        <v/>
      </c>
      <c r="H1007" s="27" t="str">
        <v/>
      </c>
      <c r="I1007" s="27" t="str">
        <v/>
      </c>
    </row>
    <row r="1008" spans="1:9" x14ac:dyDescent="0.2">
      <c r="A1008" s="23" t="str">
        <v/>
      </c>
      <c r="B1008" s="25" t="str">
        <v/>
      </c>
      <c r="C1008" s="27" t="str">
        <v/>
      </c>
      <c r="D1008" s="27" t="str">
        <v/>
      </c>
      <c r="E1008" s="27" t="str">
        <v/>
      </c>
      <c r="F1008" s="27" t="str">
        <v/>
      </c>
      <c r="G1008" s="27" t="str">
        <v/>
      </c>
      <c r="H1008" s="27" t="str">
        <v/>
      </c>
      <c r="I1008" s="27" t="str">
        <v/>
      </c>
    </row>
    <row r="1009" spans="1:9" x14ac:dyDescent="0.2">
      <c r="A1009" s="23" t="str">
        <v/>
      </c>
      <c r="B1009" s="25" t="str">
        <v/>
      </c>
      <c r="C1009" s="27" t="str">
        <v/>
      </c>
      <c r="D1009" s="27" t="str">
        <v/>
      </c>
      <c r="E1009" s="27" t="str">
        <v/>
      </c>
      <c r="F1009" s="27" t="str">
        <v/>
      </c>
      <c r="G1009" s="27" t="str">
        <v/>
      </c>
      <c r="H1009" s="27" t="str">
        <v/>
      </c>
      <c r="I1009" s="27" t="str">
        <v/>
      </c>
    </row>
    <row r="1010" spans="1:9" x14ac:dyDescent="0.2">
      <c r="A1010" s="23" t="str">
        <v/>
      </c>
      <c r="B1010" s="25" t="str">
        <v/>
      </c>
      <c r="C1010" s="27" t="str">
        <v/>
      </c>
      <c r="D1010" s="27" t="str">
        <v/>
      </c>
      <c r="E1010" s="27" t="str">
        <v/>
      </c>
      <c r="F1010" s="27" t="str">
        <v/>
      </c>
      <c r="G1010" s="27" t="str">
        <v/>
      </c>
      <c r="H1010" s="27" t="str">
        <v/>
      </c>
      <c r="I1010" s="27" t="str">
        <v/>
      </c>
    </row>
    <row r="1011" spans="1:9" x14ac:dyDescent="0.2">
      <c r="A1011" s="23" t="str">
        <v/>
      </c>
      <c r="B1011" s="25" t="str">
        <v/>
      </c>
      <c r="C1011" s="27" t="str">
        <v/>
      </c>
      <c r="D1011" s="27" t="str">
        <v/>
      </c>
      <c r="E1011" s="27" t="str">
        <v/>
      </c>
      <c r="F1011" s="27" t="str">
        <v/>
      </c>
      <c r="G1011" s="27" t="str">
        <v/>
      </c>
      <c r="H1011" s="27" t="str">
        <v/>
      </c>
      <c r="I1011" s="27" t="str">
        <v/>
      </c>
    </row>
    <row r="1012" spans="1:9" x14ac:dyDescent="0.2">
      <c r="A1012" s="23" t="str">
        <v/>
      </c>
      <c r="B1012" s="25" t="str">
        <v/>
      </c>
      <c r="C1012" s="27" t="str">
        <v/>
      </c>
      <c r="D1012" s="27" t="str">
        <v/>
      </c>
      <c r="E1012" s="27" t="str">
        <v/>
      </c>
      <c r="F1012" s="27" t="str">
        <v/>
      </c>
      <c r="G1012" s="27" t="str">
        <v/>
      </c>
      <c r="H1012" s="27" t="str">
        <v/>
      </c>
      <c r="I1012" s="27" t="str">
        <v/>
      </c>
    </row>
    <row r="1013" spans="1:9" x14ac:dyDescent="0.2">
      <c r="A1013" s="23" t="str">
        <v/>
      </c>
      <c r="B1013" s="25" t="str">
        <v/>
      </c>
      <c r="C1013" s="27" t="str">
        <v/>
      </c>
      <c r="D1013" s="27" t="str">
        <v/>
      </c>
      <c r="E1013" s="27" t="str">
        <v/>
      </c>
      <c r="F1013" s="27" t="str">
        <v/>
      </c>
      <c r="G1013" s="27" t="str">
        <v/>
      </c>
      <c r="H1013" s="27" t="str">
        <v/>
      </c>
      <c r="I1013" s="27" t="str">
        <v/>
      </c>
    </row>
    <row r="1014" spans="1:9" x14ac:dyDescent="0.2">
      <c r="A1014" s="23" t="str">
        <v/>
      </c>
      <c r="B1014" s="25" t="str">
        <v/>
      </c>
      <c r="C1014" s="27" t="str">
        <v/>
      </c>
      <c r="D1014" s="27" t="str">
        <v/>
      </c>
      <c r="E1014" s="27" t="str">
        <v/>
      </c>
      <c r="F1014" s="27" t="str">
        <v/>
      </c>
      <c r="G1014" s="27" t="str">
        <v/>
      </c>
      <c r="H1014" s="27" t="str">
        <v/>
      </c>
      <c r="I1014" s="27" t="str">
        <v/>
      </c>
    </row>
    <row r="1015" spans="1:9" x14ac:dyDescent="0.2">
      <c r="A1015" s="23" t="str">
        <v/>
      </c>
      <c r="B1015" s="25" t="str">
        <v/>
      </c>
      <c r="C1015" s="27" t="str">
        <v/>
      </c>
      <c r="D1015" s="27" t="str">
        <v/>
      </c>
      <c r="E1015" s="27" t="str">
        <v/>
      </c>
      <c r="F1015" s="27" t="str">
        <v/>
      </c>
      <c r="G1015" s="27" t="str">
        <v/>
      </c>
      <c r="H1015" s="27" t="str">
        <v/>
      </c>
      <c r="I1015" s="27" t="str">
        <v/>
      </c>
    </row>
    <row r="1016" spans="1:9" x14ac:dyDescent="0.2">
      <c r="A1016" s="23" t="str">
        <v/>
      </c>
      <c r="B1016" s="25" t="str">
        <v/>
      </c>
      <c r="C1016" s="27" t="str">
        <v/>
      </c>
      <c r="D1016" s="27" t="str">
        <v/>
      </c>
      <c r="E1016" s="27" t="str">
        <v/>
      </c>
      <c r="F1016" s="27" t="str">
        <v/>
      </c>
      <c r="G1016" s="27" t="str">
        <v/>
      </c>
      <c r="H1016" s="27" t="str">
        <v/>
      </c>
      <c r="I1016" s="27" t="str">
        <v/>
      </c>
    </row>
    <row r="1017" spans="1:9" x14ac:dyDescent="0.2">
      <c r="A1017" s="23" t="str">
        <v/>
      </c>
      <c r="B1017" s="25" t="str">
        <v/>
      </c>
      <c r="C1017" s="27" t="str">
        <v/>
      </c>
      <c r="D1017" s="27" t="str">
        <v/>
      </c>
      <c r="E1017" s="27" t="str">
        <v/>
      </c>
      <c r="F1017" s="27" t="str">
        <v/>
      </c>
      <c r="G1017" s="27" t="str">
        <v/>
      </c>
      <c r="H1017" s="27" t="str">
        <v/>
      </c>
      <c r="I1017" s="27" t="str">
        <v/>
      </c>
    </row>
    <row r="1018" spans="1:9" x14ac:dyDescent="0.2">
      <c r="A1018" s="23" t="str">
        <v/>
      </c>
      <c r="B1018" s="25" t="str">
        <v/>
      </c>
      <c r="C1018" s="27" t="str">
        <v/>
      </c>
      <c r="D1018" s="27" t="str">
        <v/>
      </c>
      <c r="E1018" s="27" t="str">
        <v/>
      </c>
      <c r="F1018" s="27" t="str">
        <v/>
      </c>
      <c r="G1018" s="27" t="str">
        <v/>
      </c>
      <c r="H1018" s="27" t="str">
        <v/>
      </c>
      <c r="I1018" s="27" t="str">
        <v/>
      </c>
    </row>
    <row r="1019" spans="1:9" x14ac:dyDescent="0.2">
      <c r="A1019" s="23" t="str">
        <v/>
      </c>
      <c r="B1019" s="25" t="str">
        <v/>
      </c>
      <c r="C1019" s="27" t="str">
        <v/>
      </c>
      <c r="D1019" s="27" t="str">
        <v/>
      </c>
      <c r="E1019" s="27" t="str">
        <v/>
      </c>
      <c r="F1019" s="27" t="str">
        <v/>
      </c>
      <c r="G1019" s="27" t="str">
        <v/>
      </c>
      <c r="H1019" s="27" t="str">
        <v/>
      </c>
      <c r="I1019" s="27" t="str">
        <v/>
      </c>
    </row>
    <row r="1020" spans="1:9" x14ac:dyDescent="0.2">
      <c r="A1020" s="23" t="str">
        <v/>
      </c>
      <c r="B1020" s="25" t="str">
        <v/>
      </c>
      <c r="C1020" s="27" t="str">
        <v/>
      </c>
      <c r="D1020" s="27" t="str">
        <v/>
      </c>
      <c r="E1020" s="27" t="str">
        <v/>
      </c>
      <c r="F1020" s="27" t="str">
        <v/>
      </c>
      <c r="G1020" s="27" t="str">
        <v/>
      </c>
      <c r="H1020" s="27" t="str">
        <v/>
      </c>
      <c r="I1020" s="27" t="str">
        <v/>
      </c>
    </row>
    <row r="1021" spans="1:9" x14ac:dyDescent="0.2">
      <c r="A1021" s="23" t="str">
        <v/>
      </c>
      <c r="B1021" s="25" t="str">
        <v/>
      </c>
      <c r="C1021" s="27" t="str">
        <v/>
      </c>
      <c r="D1021" s="27" t="str">
        <v/>
      </c>
      <c r="E1021" s="27" t="str">
        <v/>
      </c>
      <c r="F1021" s="27" t="str">
        <v/>
      </c>
      <c r="G1021" s="27" t="str">
        <v/>
      </c>
      <c r="H1021" s="27" t="str">
        <v/>
      </c>
      <c r="I1021" s="27" t="str">
        <v/>
      </c>
    </row>
    <row r="1022" spans="1:9" x14ac:dyDescent="0.2">
      <c r="A1022" s="23" t="str">
        <v/>
      </c>
      <c r="B1022" s="25" t="str">
        <v/>
      </c>
      <c r="C1022" s="27" t="str">
        <v/>
      </c>
      <c r="D1022" s="27" t="str">
        <v/>
      </c>
      <c r="E1022" s="27" t="str">
        <v/>
      </c>
      <c r="F1022" s="27" t="str">
        <v/>
      </c>
      <c r="G1022" s="27" t="str">
        <v/>
      </c>
      <c r="H1022" s="27" t="str">
        <v/>
      </c>
      <c r="I1022" s="27" t="str">
        <v/>
      </c>
    </row>
    <row r="1023" spans="1:9" x14ac:dyDescent="0.2">
      <c r="A1023" s="23" t="str">
        <v/>
      </c>
      <c r="B1023" s="25" t="str">
        <v/>
      </c>
      <c r="C1023" s="27" t="str">
        <v/>
      </c>
      <c r="D1023" s="27" t="str">
        <v/>
      </c>
      <c r="E1023" s="27" t="str">
        <v/>
      </c>
      <c r="F1023" s="27" t="str">
        <v/>
      </c>
      <c r="G1023" s="27" t="str">
        <v/>
      </c>
      <c r="H1023" s="27" t="str">
        <v/>
      </c>
      <c r="I1023" s="27" t="str">
        <v/>
      </c>
    </row>
    <row r="1024" spans="1:9" x14ac:dyDescent="0.2">
      <c r="A1024" s="23" t="str">
        <v/>
      </c>
      <c r="B1024" s="25" t="str">
        <v/>
      </c>
      <c r="C1024" s="27" t="str">
        <v/>
      </c>
      <c r="D1024" s="27" t="str">
        <v/>
      </c>
      <c r="E1024" s="27" t="str">
        <v/>
      </c>
      <c r="F1024" s="27" t="str">
        <v/>
      </c>
      <c r="G1024" s="27" t="str">
        <v/>
      </c>
      <c r="H1024" s="27" t="str">
        <v/>
      </c>
      <c r="I1024" s="27" t="str">
        <v/>
      </c>
    </row>
    <row r="1025" spans="1:9" x14ac:dyDescent="0.2">
      <c r="A1025" s="23" t="str">
        <v/>
      </c>
      <c r="B1025" s="25" t="str">
        <v/>
      </c>
      <c r="C1025" s="27" t="str">
        <v/>
      </c>
      <c r="D1025" s="27" t="str">
        <v/>
      </c>
      <c r="E1025" s="27" t="str">
        <v/>
      </c>
      <c r="F1025" s="27" t="str">
        <v/>
      </c>
      <c r="G1025" s="27" t="str">
        <v/>
      </c>
      <c r="H1025" s="27" t="str">
        <v/>
      </c>
      <c r="I1025" s="27" t="str">
        <v/>
      </c>
    </row>
    <row r="1026" spans="1:9" x14ac:dyDescent="0.2">
      <c r="A1026" s="23" t="str">
        <v/>
      </c>
      <c r="B1026" s="25" t="str">
        <v/>
      </c>
      <c r="C1026" s="27" t="str">
        <v/>
      </c>
      <c r="D1026" s="27" t="str">
        <v/>
      </c>
      <c r="E1026" s="27" t="str">
        <v/>
      </c>
      <c r="F1026" s="27" t="str">
        <v/>
      </c>
      <c r="G1026" s="27" t="str">
        <v/>
      </c>
      <c r="H1026" s="27" t="str">
        <v/>
      </c>
      <c r="I1026" s="27" t="str">
        <v/>
      </c>
    </row>
    <row r="1027" spans="1:9" x14ac:dyDescent="0.2">
      <c r="A1027" s="23" t="str">
        <v/>
      </c>
      <c r="B1027" s="25" t="str">
        <v/>
      </c>
      <c r="C1027" s="27" t="str">
        <v/>
      </c>
      <c r="D1027" s="27" t="str">
        <v/>
      </c>
      <c r="E1027" s="27" t="str">
        <v/>
      </c>
      <c r="F1027" s="27" t="str">
        <v/>
      </c>
      <c r="G1027" s="27" t="str">
        <v/>
      </c>
      <c r="H1027" s="27" t="str">
        <v/>
      </c>
      <c r="I1027" s="27" t="str">
        <v/>
      </c>
    </row>
    <row r="1028" spans="1:9" x14ac:dyDescent="0.2">
      <c r="A1028" s="23" t="str">
        <v/>
      </c>
      <c r="B1028" s="25" t="str">
        <v/>
      </c>
      <c r="C1028" s="27" t="str">
        <v/>
      </c>
      <c r="D1028" s="27" t="str">
        <v/>
      </c>
      <c r="E1028" s="27" t="str">
        <v/>
      </c>
      <c r="F1028" s="27" t="str">
        <v/>
      </c>
      <c r="G1028" s="27" t="str">
        <v/>
      </c>
      <c r="H1028" s="27" t="str">
        <v/>
      </c>
      <c r="I1028" s="27" t="str">
        <v/>
      </c>
    </row>
    <row r="1029" spans="1:9" x14ac:dyDescent="0.2">
      <c r="A1029" s="23" t="str">
        <v/>
      </c>
      <c r="B1029" s="25" t="str">
        <v/>
      </c>
      <c r="C1029" s="27" t="str">
        <v/>
      </c>
      <c r="D1029" s="27" t="str">
        <v/>
      </c>
      <c r="E1029" s="27" t="str">
        <v/>
      </c>
      <c r="F1029" s="27" t="str">
        <v/>
      </c>
      <c r="G1029" s="27" t="str">
        <v/>
      </c>
      <c r="H1029" s="27" t="str">
        <v/>
      </c>
      <c r="I1029" s="27" t="str">
        <v/>
      </c>
    </row>
    <row r="1030" spans="1:9" x14ac:dyDescent="0.2">
      <c r="A1030" s="23" t="str">
        <v/>
      </c>
      <c r="B1030" s="25" t="str">
        <v/>
      </c>
      <c r="C1030" s="27" t="str">
        <v/>
      </c>
      <c r="D1030" s="27" t="str">
        <v/>
      </c>
      <c r="E1030" s="27" t="str">
        <v/>
      </c>
      <c r="F1030" s="27" t="str">
        <v/>
      </c>
      <c r="G1030" s="27" t="str">
        <v/>
      </c>
      <c r="H1030" s="27" t="str">
        <v/>
      </c>
      <c r="I1030" s="27" t="str">
        <v/>
      </c>
    </row>
    <row r="1031" spans="1:9" x14ac:dyDescent="0.2">
      <c r="A1031" s="23" t="str">
        <v/>
      </c>
      <c r="B1031" s="25" t="str">
        <v/>
      </c>
      <c r="C1031" s="27" t="str">
        <v/>
      </c>
      <c r="D1031" s="27" t="str">
        <v/>
      </c>
      <c r="E1031" s="27" t="str">
        <v/>
      </c>
      <c r="F1031" s="27" t="str">
        <v/>
      </c>
      <c r="G1031" s="27" t="str">
        <v/>
      </c>
      <c r="H1031" s="27" t="str">
        <v/>
      </c>
      <c r="I1031" s="27" t="str">
        <v/>
      </c>
    </row>
    <row r="1032" spans="1:9" x14ac:dyDescent="0.2">
      <c r="A1032" s="23" t="str">
        <v/>
      </c>
      <c r="B1032" s="25" t="str">
        <v/>
      </c>
      <c r="C1032" s="27" t="str">
        <v/>
      </c>
      <c r="D1032" s="27" t="str">
        <v/>
      </c>
      <c r="E1032" s="27" t="str">
        <v/>
      </c>
      <c r="F1032" s="27" t="str">
        <v/>
      </c>
      <c r="G1032" s="27" t="str">
        <v/>
      </c>
      <c r="H1032" s="27" t="str">
        <v/>
      </c>
      <c r="I1032" s="27" t="str">
        <v/>
      </c>
    </row>
    <row r="1033" spans="1:9" x14ac:dyDescent="0.2">
      <c r="A1033" s="23" t="str">
        <v/>
      </c>
      <c r="B1033" s="25" t="str">
        <v/>
      </c>
      <c r="C1033" s="27" t="str">
        <v/>
      </c>
      <c r="D1033" s="27" t="str">
        <v/>
      </c>
      <c r="E1033" s="27" t="str">
        <v/>
      </c>
      <c r="F1033" s="27" t="str">
        <v/>
      </c>
      <c r="G1033" s="27" t="str">
        <v/>
      </c>
      <c r="H1033" s="27" t="str">
        <v/>
      </c>
      <c r="I1033" s="27" t="str">
        <v/>
      </c>
    </row>
    <row r="1034" spans="1:9" x14ac:dyDescent="0.2">
      <c r="A1034" s="23" t="str">
        <v/>
      </c>
      <c r="B1034" s="25" t="str">
        <v/>
      </c>
      <c r="C1034" s="27" t="str">
        <v/>
      </c>
      <c r="D1034" s="27" t="str">
        <v/>
      </c>
      <c r="E1034" s="27" t="str">
        <v/>
      </c>
      <c r="F1034" s="27" t="str">
        <v/>
      </c>
      <c r="G1034" s="27" t="str">
        <v/>
      </c>
      <c r="H1034" s="27" t="str">
        <v/>
      </c>
      <c r="I1034" s="27" t="str">
        <v/>
      </c>
    </row>
    <row r="1035" spans="1:9" x14ac:dyDescent="0.2">
      <c r="A1035" s="23" t="str">
        <v/>
      </c>
      <c r="B1035" s="25" t="str">
        <v/>
      </c>
      <c r="C1035" s="27" t="str">
        <v/>
      </c>
      <c r="D1035" s="27" t="str">
        <v/>
      </c>
      <c r="E1035" s="27" t="str">
        <v/>
      </c>
      <c r="F1035" s="27" t="str">
        <v/>
      </c>
      <c r="G1035" s="27" t="str">
        <v/>
      </c>
      <c r="H1035" s="27" t="str">
        <v/>
      </c>
      <c r="I1035" s="27" t="str">
        <v/>
      </c>
    </row>
    <row r="1036" spans="1:9" x14ac:dyDescent="0.2">
      <c r="A1036" s="23" t="str">
        <v/>
      </c>
      <c r="B1036" s="25" t="str">
        <v/>
      </c>
      <c r="C1036" s="27" t="str">
        <v/>
      </c>
      <c r="D1036" s="27" t="str">
        <v/>
      </c>
      <c r="E1036" s="27" t="str">
        <v/>
      </c>
      <c r="F1036" s="27" t="str">
        <v/>
      </c>
      <c r="G1036" s="27" t="str">
        <v/>
      </c>
      <c r="H1036" s="27" t="str">
        <v/>
      </c>
      <c r="I1036" s="27" t="str">
        <v/>
      </c>
    </row>
    <row r="1037" spans="1:9" x14ac:dyDescent="0.2">
      <c r="A1037" s="23" t="str">
        <v/>
      </c>
      <c r="B1037" s="25" t="str">
        <v/>
      </c>
      <c r="C1037" s="27" t="str">
        <v/>
      </c>
      <c r="D1037" s="27" t="str">
        <v/>
      </c>
      <c r="E1037" s="27" t="str">
        <v/>
      </c>
      <c r="F1037" s="27" t="str">
        <v/>
      </c>
      <c r="G1037" s="27" t="str">
        <v/>
      </c>
      <c r="H1037" s="27" t="str">
        <v/>
      </c>
      <c r="I1037" s="27" t="str">
        <v/>
      </c>
    </row>
    <row r="1038" spans="1:9" x14ac:dyDescent="0.2">
      <c r="A1038" s="23" t="str">
        <v/>
      </c>
      <c r="B1038" s="25" t="str">
        <v/>
      </c>
      <c r="C1038" s="27" t="str">
        <v/>
      </c>
      <c r="D1038" s="27" t="str">
        <v/>
      </c>
      <c r="E1038" s="27" t="str">
        <v/>
      </c>
      <c r="F1038" s="27" t="str">
        <v/>
      </c>
      <c r="G1038" s="27" t="str">
        <v/>
      </c>
      <c r="H1038" s="27" t="str">
        <v/>
      </c>
      <c r="I1038" s="27" t="str">
        <v/>
      </c>
    </row>
    <row r="1039" spans="1:9" x14ac:dyDescent="0.2">
      <c r="A1039" s="23" t="str">
        <v/>
      </c>
      <c r="B1039" s="25" t="str">
        <v/>
      </c>
      <c r="C1039" s="27" t="str">
        <v/>
      </c>
      <c r="D1039" s="27" t="str">
        <v/>
      </c>
      <c r="E1039" s="27" t="str">
        <v/>
      </c>
      <c r="F1039" s="27" t="str">
        <v/>
      </c>
      <c r="G1039" s="27" t="str">
        <v/>
      </c>
      <c r="H1039" s="27" t="str">
        <v/>
      </c>
      <c r="I1039" s="27" t="str">
        <v/>
      </c>
    </row>
    <row r="1040" spans="1:9" x14ac:dyDescent="0.2">
      <c r="A1040" s="23" t="str">
        <v/>
      </c>
      <c r="B1040" s="25" t="str">
        <v/>
      </c>
      <c r="C1040" s="27" t="str">
        <v/>
      </c>
      <c r="D1040" s="27" t="str">
        <v/>
      </c>
      <c r="E1040" s="27" t="str">
        <v/>
      </c>
      <c r="F1040" s="27" t="str">
        <v/>
      </c>
      <c r="G1040" s="27" t="str">
        <v/>
      </c>
      <c r="H1040" s="27" t="str">
        <v/>
      </c>
      <c r="I1040" s="27" t="str">
        <v/>
      </c>
    </row>
    <row r="1041" spans="1:9" x14ac:dyDescent="0.2">
      <c r="A1041" s="23" t="str">
        <v/>
      </c>
      <c r="B1041" s="25" t="str">
        <v/>
      </c>
      <c r="C1041" s="27" t="str">
        <v/>
      </c>
      <c r="D1041" s="27" t="str">
        <v/>
      </c>
      <c r="E1041" s="27" t="str">
        <v/>
      </c>
      <c r="F1041" s="27" t="str">
        <v/>
      </c>
      <c r="G1041" s="27" t="str">
        <v/>
      </c>
      <c r="H1041" s="27" t="str">
        <v/>
      </c>
      <c r="I1041" s="27" t="str">
        <v/>
      </c>
    </row>
    <row r="1042" spans="1:9" x14ac:dyDescent="0.2">
      <c r="A1042" s="23" t="str">
        <v/>
      </c>
      <c r="B1042" s="25" t="str">
        <v/>
      </c>
      <c r="C1042" s="27" t="str">
        <v/>
      </c>
      <c r="D1042" s="27" t="str">
        <v/>
      </c>
      <c r="E1042" s="27" t="str">
        <v/>
      </c>
      <c r="F1042" s="27" t="str">
        <v/>
      </c>
      <c r="G1042" s="27" t="str">
        <v/>
      </c>
      <c r="H1042" s="27" t="str">
        <v/>
      </c>
      <c r="I1042" s="27" t="str">
        <v/>
      </c>
    </row>
    <row r="1043" spans="1:9" x14ac:dyDescent="0.2">
      <c r="A1043" s="23" t="str">
        <v/>
      </c>
      <c r="B1043" s="25" t="str">
        <v/>
      </c>
      <c r="C1043" s="27" t="str">
        <v/>
      </c>
      <c r="D1043" s="27" t="str">
        <v/>
      </c>
      <c r="E1043" s="27" t="str">
        <v/>
      </c>
      <c r="F1043" s="27" t="str">
        <v/>
      </c>
      <c r="G1043" s="27" t="str">
        <v/>
      </c>
      <c r="H1043" s="27" t="str">
        <v/>
      </c>
      <c r="I1043" s="27" t="str">
        <v/>
      </c>
    </row>
    <row r="1044" spans="1:9" x14ac:dyDescent="0.2">
      <c r="A1044" s="23" t="str">
        <v/>
      </c>
      <c r="B1044" s="25" t="str">
        <v/>
      </c>
      <c r="C1044" s="27" t="str">
        <v/>
      </c>
      <c r="D1044" s="27" t="str">
        <v/>
      </c>
      <c r="E1044" s="27" t="str">
        <v/>
      </c>
      <c r="F1044" s="27" t="str">
        <v/>
      </c>
      <c r="G1044" s="27" t="str">
        <v/>
      </c>
      <c r="H1044" s="27" t="str">
        <v/>
      </c>
      <c r="I1044" s="27" t="str">
        <v/>
      </c>
    </row>
    <row r="1045" spans="1:9" x14ac:dyDescent="0.2">
      <c r="A1045" s="23" t="str">
        <v/>
      </c>
      <c r="B1045" s="25" t="str">
        <v/>
      </c>
      <c r="C1045" s="27" t="str">
        <v/>
      </c>
      <c r="D1045" s="27" t="str">
        <v/>
      </c>
      <c r="E1045" s="27" t="str">
        <v/>
      </c>
      <c r="F1045" s="27" t="str">
        <v/>
      </c>
      <c r="G1045" s="27" t="str">
        <v/>
      </c>
      <c r="H1045" s="27" t="str">
        <v/>
      </c>
      <c r="I1045" s="27" t="str">
        <v/>
      </c>
    </row>
    <row r="1046" spans="1:9" x14ac:dyDescent="0.2">
      <c r="A1046" s="23" t="str">
        <v/>
      </c>
      <c r="B1046" s="25" t="str">
        <v/>
      </c>
      <c r="C1046" s="27" t="str">
        <v/>
      </c>
      <c r="D1046" s="27" t="str">
        <v/>
      </c>
      <c r="E1046" s="27" t="str">
        <v/>
      </c>
      <c r="F1046" s="27" t="str">
        <v/>
      </c>
      <c r="G1046" s="27" t="str">
        <v/>
      </c>
      <c r="H1046" s="27" t="str">
        <v/>
      </c>
      <c r="I1046" s="27" t="str">
        <v/>
      </c>
    </row>
    <row r="1047" spans="1:9" x14ac:dyDescent="0.2">
      <c r="A1047" s="23" t="str">
        <v/>
      </c>
      <c r="B1047" s="25" t="str">
        <v/>
      </c>
      <c r="C1047" s="27" t="str">
        <v/>
      </c>
      <c r="D1047" s="27" t="str">
        <v/>
      </c>
      <c r="E1047" s="27" t="str">
        <v/>
      </c>
      <c r="F1047" s="27" t="str">
        <v/>
      </c>
      <c r="G1047" s="27" t="str">
        <v/>
      </c>
      <c r="H1047" s="27" t="str">
        <v/>
      </c>
      <c r="I1047" s="27" t="str">
        <v/>
      </c>
    </row>
    <row r="1048" spans="1:9" x14ac:dyDescent="0.2">
      <c r="A1048" s="23" t="str">
        <v/>
      </c>
      <c r="B1048" s="25" t="str">
        <v/>
      </c>
      <c r="C1048" s="27" t="str">
        <v/>
      </c>
      <c r="D1048" s="27" t="str">
        <v/>
      </c>
      <c r="E1048" s="27" t="str">
        <v/>
      </c>
      <c r="F1048" s="27" t="str">
        <v/>
      </c>
      <c r="G1048" s="27" t="str">
        <v/>
      </c>
      <c r="H1048" s="27" t="str">
        <v/>
      </c>
      <c r="I1048" s="27" t="str">
        <v/>
      </c>
    </row>
    <row r="1049" spans="1:9" x14ac:dyDescent="0.2">
      <c r="A1049" s="23" t="str">
        <v/>
      </c>
      <c r="B1049" s="25" t="str">
        <v/>
      </c>
      <c r="C1049" s="27" t="str">
        <v/>
      </c>
      <c r="D1049" s="27" t="str">
        <v/>
      </c>
      <c r="E1049" s="27" t="str">
        <v/>
      </c>
      <c r="F1049" s="27" t="str">
        <v/>
      </c>
      <c r="G1049" s="27" t="str">
        <v/>
      </c>
      <c r="H1049" s="27" t="str">
        <v/>
      </c>
      <c r="I1049" s="27" t="str">
        <v/>
      </c>
    </row>
    <row r="1050" spans="1:9" x14ac:dyDescent="0.2">
      <c r="A1050" s="23" t="str">
        <v/>
      </c>
      <c r="B1050" s="25" t="str">
        <v/>
      </c>
      <c r="C1050" s="27" t="str">
        <v/>
      </c>
      <c r="D1050" s="27" t="str">
        <v/>
      </c>
      <c r="E1050" s="27" t="str">
        <v/>
      </c>
      <c r="F1050" s="27" t="str">
        <v/>
      </c>
      <c r="G1050" s="27" t="str">
        <v/>
      </c>
      <c r="H1050" s="27" t="str">
        <v/>
      </c>
      <c r="I1050" s="27" t="str">
        <v/>
      </c>
    </row>
    <row r="1051" spans="1:9" x14ac:dyDescent="0.2">
      <c r="A1051" s="23" t="str">
        <v/>
      </c>
      <c r="B1051" s="25" t="str">
        <v/>
      </c>
      <c r="C1051" s="27" t="str">
        <v/>
      </c>
      <c r="D1051" s="27" t="str">
        <v/>
      </c>
      <c r="E1051" s="27" t="str">
        <v/>
      </c>
      <c r="F1051" s="27" t="str">
        <v/>
      </c>
      <c r="G1051" s="27" t="str">
        <v/>
      </c>
      <c r="H1051" s="27" t="str">
        <v/>
      </c>
      <c r="I1051" s="27" t="str">
        <v/>
      </c>
    </row>
    <row r="1052" spans="1:9" x14ac:dyDescent="0.2">
      <c r="A1052" s="23" t="str">
        <v/>
      </c>
      <c r="B1052" s="25" t="str">
        <v/>
      </c>
      <c r="C1052" s="27" t="str">
        <v/>
      </c>
      <c r="D1052" s="27" t="str">
        <v/>
      </c>
      <c r="E1052" s="27" t="str">
        <v/>
      </c>
      <c r="F1052" s="27" t="str">
        <v/>
      </c>
      <c r="G1052" s="27" t="str">
        <v/>
      </c>
      <c r="H1052" s="27" t="str">
        <v/>
      </c>
      <c r="I1052" s="27" t="str">
        <v/>
      </c>
    </row>
    <row r="1053" spans="1:9" x14ac:dyDescent="0.2">
      <c r="A1053" s="23" t="str">
        <v/>
      </c>
      <c r="B1053" s="25" t="str">
        <v/>
      </c>
      <c r="C1053" s="27" t="str">
        <v/>
      </c>
      <c r="D1053" s="27" t="str">
        <v/>
      </c>
      <c r="E1053" s="27" t="str">
        <v/>
      </c>
      <c r="F1053" s="27" t="str">
        <v/>
      </c>
      <c r="G1053" s="27" t="str">
        <v/>
      </c>
      <c r="H1053" s="27" t="str">
        <v/>
      </c>
      <c r="I1053" s="27" t="str">
        <v/>
      </c>
    </row>
    <row r="1054" spans="1:9" x14ac:dyDescent="0.2">
      <c r="A1054" s="23" t="str">
        <v/>
      </c>
      <c r="B1054" s="25" t="str">
        <v/>
      </c>
      <c r="C1054" s="27" t="str">
        <v/>
      </c>
      <c r="D1054" s="27" t="str">
        <v/>
      </c>
      <c r="E1054" s="27" t="str">
        <v/>
      </c>
      <c r="F1054" s="27" t="str">
        <v/>
      </c>
      <c r="G1054" s="27" t="str">
        <v/>
      </c>
      <c r="H1054" s="27" t="str">
        <v/>
      </c>
      <c r="I1054" s="27" t="str">
        <v/>
      </c>
    </row>
    <row r="1055" spans="1:9" x14ac:dyDescent="0.2">
      <c r="A1055" s="23" t="str">
        <v/>
      </c>
      <c r="B1055" s="25" t="str">
        <v/>
      </c>
      <c r="C1055" s="27" t="str">
        <v/>
      </c>
      <c r="D1055" s="27" t="str">
        <v/>
      </c>
      <c r="E1055" s="27" t="str">
        <v/>
      </c>
      <c r="F1055" s="27" t="str">
        <v/>
      </c>
      <c r="G1055" s="27" t="str">
        <v/>
      </c>
      <c r="H1055" s="27" t="str">
        <v/>
      </c>
      <c r="I1055" s="27" t="str">
        <v/>
      </c>
    </row>
    <row r="1056" spans="1:9" x14ac:dyDescent="0.2">
      <c r="A1056" s="23" t="str">
        <v/>
      </c>
      <c r="B1056" s="25" t="str">
        <v/>
      </c>
      <c r="C1056" s="27" t="str">
        <v/>
      </c>
      <c r="D1056" s="27" t="str">
        <v/>
      </c>
      <c r="E1056" s="27" t="str">
        <v/>
      </c>
      <c r="F1056" s="27" t="str">
        <v/>
      </c>
      <c r="G1056" s="27" t="str">
        <v/>
      </c>
      <c r="H1056" s="27" t="str">
        <v/>
      </c>
      <c r="I1056" s="27" t="str">
        <v/>
      </c>
    </row>
    <row r="1057" spans="1:9" x14ac:dyDescent="0.2">
      <c r="A1057" s="23" t="str">
        <v/>
      </c>
      <c r="B1057" s="25" t="str">
        <v/>
      </c>
      <c r="C1057" s="27" t="str">
        <v/>
      </c>
      <c r="D1057" s="27" t="str">
        <v/>
      </c>
      <c r="E1057" s="27" t="str">
        <v/>
      </c>
      <c r="F1057" s="27" t="str">
        <v/>
      </c>
      <c r="G1057" s="27" t="str">
        <v/>
      </c>
      <c r="H1057" s="27" t="str">
        <v/>
      </c>
      <c r="I1057" s="27" t="str">
        <v/>
      </c>
    </row>
    <row r="1058" spans="1:9" x14ac:dyDescent="0.2">
      <c r="A1058" s="23" t="str">
        <v/>
      </c>
      <c r="B1058" s="25" t="str">
        <v/>
      </c>
      <c r="C1058" s="27" t="str">
        <v/>
      </c>
      <c r="D1058" s="27" t="str">
        <v/>
      </c>
      <c r="E1058" s="27" t="str">
        <v/>
      </c>
      <c r="F1058" s="27" t="str">
        <v/>
      </c>
      <c r="G1058" s="27" t="str">
        <v/>
      </c>
      <c r="H1058" s="27" t="str">
        <v/>
      </c>
      <c r="I1058" s="27" t="str">
        <v/>
      </c>
    </row>
    <row r="1059" spans="1:9" x14ac:dyDescent="0.2">
      <c r="A1059" s="23" t="str">
        <v/>
      </c>
      <c r="B1059" s="25" t="str">
        <v/>
      </c>
      <c r="C1059" s="27" t="str">
        <v/>
      </c>
      <c r="D1059" s="27" t="str">
        <v/>
      </c>
      <c r="E1059" s="27" t="str">
        <v/>
      </c>
      <c r="F1059" s="27" t="str">
        <v/>
      </c>
      <c r="G1059" s="27" t="str">
        <v/>
      </c>
      <c r="H1059" s="27" t="str">
        <v/>
      </c>
      <c r="I1059" s="27" t="str">
        <v/>
      </c>
    </row>
    <row r="1060" spans="1:9" x14ac:dyDescent="0.2">
      <c r="A1060" s="23" t="str">
        <v/>
      </c>
      <c r="B1060" s="25" t="str">
        <v/>
      </c>
      <c r="C1060" s="27" t="str">
        <v/>
      </c>
      <c r="D1060" s="27" t="str">
        <v/>
      </c>
      <c r="E1060" s="27" t="str">
        <v/>
      </c>
      <c r="F1060" s="27" t="str">
        <v/>
      </c>
      <c r="G1060" s="27" t="str">
        <v/>
      </c>
      <c r="H1060" s="27" t="str">
        <v/>
      </c>
      <c r="I1060" s="27" t="str">
        <v/>
      </c>
    </row>
    <row r="1061" spans="1:9" x14ac:dyDescent="0.2">
      <c r="A1061" s="23" t="str">
        <v/>
      </c>
      <c r="B1061" s="25" t="str">
        <v/>
      </c>
      <c r="C1061" s="27" t="str">
        <v/>
      </c>
      <c r="D1061" s="27" t="str">
        <v/>
      </c>
      <c r="E1061" s="27" t="str">
        <v/>
      </c>
      <c r="F1061" s="27" t="str">
        <v/>
      </c>
      <c r="G1061" s="27" t="str">
        <v/>
      </c>
      <c r="H1061" s="27" t="str">
        <v/>
      </c>
      <c r="I1061" s="27" t="str">
        <v/>
      </c>
    </row>
    <row r="1062" spans="1:9" x14ac:dyDescent="0.2">
      <c r="A1062" s="23" t="str">
        <v/>
      </c>
      <c r="B1062" s="25" t="str">
        <v/>
      </c>
      <c r="C1062" s="27" t="str">
        <v/>
      </c>
      <c r="D1062" s="27" t="str">
        <v/>
      </c>
      <c r="E1062" s="27" t="str">
        <v/>
      </c>
      <c r="F1062" s="27" t="str">
        <v/>
      </c>
      <c r="G1062" s="27" t="str">
        <v/>
      </c>
      <c r="H1062" s="27" t="str">
        <v/>
      </c>
      <c r="I1062" s="27" t="str">
        <v/>
      </c>
    </row>
    <row r="1063" spans="1:9" x14ac:dyDescent="0.2">
      <c r="A1063" s="23" t="str">
        <v/>
      </c>
      <c r="B1063" s="25" t="str">
        <v/>
      </c>
      <c r="C1063" s="27" t="str">
        <v/>
      </c>
      <c r="D1063" s="27" t="str">
        <v/>
      </c>
      <c r="E1063" s="27" t="str">
        <v/>
      </c>
      <c r="F1063" s="27" t="str">
        <v/>
      </c>
      <c r="G1063" s="27" t="str">
        <v/>
      </c>
      <c r="H1063" s="27" t="str">
        <v/>
      </c>
      <c r="I1063" s="27" t="str">
        <v/>
      </c>
    </row>
    <row r="1064" spans="1:9" x14ac:dyDescent="0.2">
      <c r="A1064" s="23" t="str">
        <v/>
      </c>
      <c r="B1064" s="25" t="str">
        <v/>
      </c>
      <c r="C1064" s="27" t="str">
        <v/>
      </c>
      <c r="D1064" s="27" t="str">
        <v/>
      </c>
      <c r="E1064" s="27" t="str">
        <v/>
      </c>
      <c r="F1064" s="27" t="str">
        <v/>
      </c>
      <c r="G1064" s="27" t="str">
        <v/>
      </c>
      <c r="H1064" s="27" t="str">
        <v/>
      </c>
      <c r="I1064" s="27" t="str">
        <v/>
      </c>
    </row>
    <row r="1065" spans="1:9" x14ac:dyDescent="0.2">
      <c r="A1065" s="23" t="str">
        <v/>
      </c>
      <c r="B1065" s="25" t="str">
        <v/>
      </c>
      <c r="C1065" s="27" t="str">
        <v/>
      </c>
      <c r="D1065" s="27" t="str">
        <v/>
      </c>
      <c r="E1065" s="27" t="str">
        <v/>
      </c>
      <c r="F1065" s="27" t="str">
        <v/>
      </c>
      <c r="G1065" s="27" t="str">
        <v/>
      </c>
      <c r="H1065" s="27" t="str">
        <v/>
      </c>
      <c r="I1065" s="27" t="str">
        <v/>
      </c>
    </row>
    <row r="1066" spans="1:9" x14ac:dyDescent="0.2">
      <c r="A1066" s="23" t="str">
        <v/>
      </c>
      <c r="B1066" s="25" t="str">
        <v/>
      </c>
      <c r="C1066" s="27" t="str">
        <v/>
      </c>
      <c r="D1066" s="27" t="str">
        <v/>
      </c>
      <c r="E1066" s="27" t="str">
        <v/>
      </c>
      <c r="F1066" s="27" t="str">
        <v/>
      </c>
      <c r="G1066" s="27" t="str">
        <v/>
      </c>
      <c r="H1066" s="27" t="str">
        <v/>
      </c>
      <c r="I1066" s="27" t="str">
        <v/>
      </c>
    </row>
    <row r="1067" spans="1:9" x14ac:dyDescent="0.2">
      <c r="A1067" s="23" t="str">
        <v/>
      </c>
      <c r="B1067" s="25" t="str">
        <v/>
      </c>
      <c r="C1067" s="27" t="str">
        <v/>
      </c>
      <c r="D1067" s="27" t="str">
        <v/>
      </c>
      <c r="E1067" s="27" t="str">
        <v/>
      </c>
      <c r="F1067" s="27" t="str">
        <v/>
      </c>
      <c r="G1067" s="27" t="str">
        <v/>
      </c>
      <c r="H1067" s="27" t="str">
        <v/>
      </c>
      <c r="I1067" s="27" t="str">
        <v/>
      </c>
    </row>
    <row r="1068" spans="1:9" x14ac:dyDescent="0.2">
      <c r="A1068" s="23" t="str">
        <v/>
      </c>
      <c r="B1068" s="25" t="str">
        <v/>
      </c>
      <c r="C1068" s="27" t="str">
        <v/>
      </c>
      <c r="D1068" s="27" t="str">
        <v/>
      </c>
      <c r="E1068" s="27" t="str">
        <v/>
      </c>
      <c r="F1068" s="27" t="str">
        <v/>
      </c>
      <c r="G1068" s="27" t="str">
        <v/>
      </c>
      <c r="H1068" s="27" t="str">
        <v/>
      </c>
      <c r="I1068" s="27" t="str">
        <v/>
      </c>
    </row>
    <row r="1069" spans="1:9" x14ac:dyDescent="0.2">
      <c r="A1069" s="23" t="str">
        <v/>
      </c>
      <c r="B1069" s="25" t="str">
        <v/>
      </c>
      <c r="C1069" s="27" t="str">
        <v/>
      </c>
      <c r="D1069" s="27" t="str">
        <v/>
      </c>
      <c r="E1069" s="27" t="str">
        <v/>
      </c>
      <c r="F1069" s="27" t="str">
        <v/>
      </c>
      <c r="G1069" s="27" t="str">
        <v/>
      </c>
      <c r="H1069" s="27" t="str">
        <v/>
      </c>
      <c r="I1069" s="27" t="str">
        <v/>
      </c>
    </row>
    <row r="1070" spans="1:9" x14ac:dyDescent="0.2">
      <c r="A1070" s="23" t="str">
        <v/>
      </c>
      <c r="B1070" s="25" t="str">
        <v/>
      </c>
      <c r="C1070" s="27" t="str">
        <v/>
      </c>
      <c r="D1070" s="27" t="str">
        <v/>
      </c>
      <c r="E1070" s="27" t="str">
        <v/>
      </c>
      <c r="F1070" s="27" t="str">
        <v/>
      </c>
      <c r="G1070" s="27" t="str">
        <v/>
      </c>
      <c r="H1070" s="27" t="str">
        <v/>
      </c>
      <c r="I1070" s="27" t="str">
        <v/>
      </c>
    </row>
    <row r="1071" spans="1:9" x14ac:dyDescent="0.2">
      <c r="A1071" s="23" t="str">
        <v/>
      </c>
      <c r="B1071" s="25" t="str">
        <v/>
      </c>
      <c r="C1071" s="27" t="str">
        <v/>
      </c>
      <c r="D1071" s="27" t="str">
        <v/>
      </c>
      <c r="E1071" s="27" t="str">
        <v/>
      </c>
      <c r="F1071" s="27" t="str">
        <v/>
      </c>
      <c r="G1071" s="27" t="str">
        <v/>
      </c>
      <c r="H1071" s="27" t="str">
        <v/>
      </c>
      <c r="I1071" s="27" t="str">
        <v/>
      </c>
    </row>
    <row r="1072" spans="1:9" x14ac:dyDescent="0.2">
      <c r="A1072" s="23" t="str">
        <v/>
      </c>
      <c r="B1072" s="25" t="str">
        <v/>
      </c>
      <c r="C1072" s="27" t="str">
        <v/>
      </c>
      <c r="D1072" s="27" t="str">
        <v/>
      </c>
      <c r="E1072" s="27" t="str">
        <v/>
      </c>
      <c r="F1072" s="27" t="str">
        <v/>
      </c>
      <c r="G1072" s="27" t="str">
        <v/>
      </c>
      <c r="H1072" s="27" t="str">
        <v/>
      </c>
      <c r="I1072" s="27" t="str">
        <v/>
      </c>
    </row>
    <row r="1073" spans="1:9" x14ac:dyDescent="0.2">
      <c r="A1073" s="23" t="str">
        <v/>
      </c>
      <c r="B1073" s="25" t="str">
        <v/>
      </c>
      <c r="C1073" s="27" t="str">
        <v/>
      </c>
      <c r="D1073" s="27" t="str">
        <v/>
      </c>
      <c r="E1073" s="27" t="str">
        <v/>
      </c>
      <c r="F1073" s="27" t="str">
        <v/>
      </c>
      <c r="G1073" s="27" t="str">
        <v/>
      </c>
      <c r="H1073" s="27" t="str">
        <v/>
      </c>
      <c r="I1073" s="27" t="str">
        <v/>
      </c>
    </row>
    <row r="1074" spans="1:9" x14ac:dyDescent="0.2">
      <c r="A1074" s="23" t="str">
        <v/>
      </c>
      <c r="B1074" s="25" t="str">
        <v/>
      </c>
      <c r="C1074" s="27" t="str">
        <v/>
      </c>
      <c r="D1074" s="27" t="str">
        <v/>
      </c>
      <c r="E1074" s="27" t="str">
        <v/>
      </c>
      <c r="F1074" s="27" t="str">
        <v/>
      </c>
      <c r="G1074" s="27" t="str">
        <v/>
      </c>
      <c r="H1074" s="27" t="str">
        <v/>
      </c>
      <c r="I1074" s="27" t="str">
        <v/>
      </c>
    </row>
    <row r="1075" spans="1:9" x14ac:dyDescent="0.2">
      <c r="A1075" s="23" t="str">
        <v/>
      </c>
      <c r="B1075" s="25" t="str">
        <v/>
      </c>
      <c r="C1075" s="27" t="str">
        <v/>
      </c>
      <c r="D1075" s="27" t="str">
        <v/>
      </c>
      <c r="E1075" s="27" t="str">
        <v/>
      </c>
      <c r="F1075" s="27" t="str">
        <v/>
      </c>
      <c r="G1075" s="27" t="str">
        <v/>
      </c>
      <c r="H1075" s="27" t="str">
        <v/>
      </c>
      <c r="I1075" s="27" t="str">
        <v/>
      </c>
    </row>
    <row r="1076" spans="1:9" x14ac:dyDescent="0.2">
      <c r="A1076" s="23" t="str">
        <v/>
      </c>
      <c r="B1076" s="25" t="str">
        <v/>
      </c>
      <c r="C1076" s="27" t="str">
        <v/>
      </c>
      <c r="D1076" s="27" t="str">
        <v/>
      </c>
      <c r="E1076" s="27" t="str">
        <v/>
      </c>
      <c r="F1076" s="27" t="str">
        <v/>
      </c>
      <c r="G1076" s="27" t="str">
        <v/>
      </c>
      <c r="H1076" s="27" t="str">
        <v/>
      </c>
      <c r="I1076" s="27" t="str">
        <v/>
      </c>
    </row>
    <row r="1077" spans="1:9" x14ac:dyDescent="0.2">
      <c r="A1077" s="23" t="str">
        <v/>
      </c>
      <c r="B1077" s="25" t="str">
        <v/>
      </c>
      <c r="C1077" s="27" t="str">
        <v/>
      </c>
      <c r="D1077" s="27" t="str">
        <v/>
      </c>
      <c r="E1077" s="27" t="str">
        <v/>
      </c>
      <c r="F1077" s="27" t="str">
        <v/>
      </c>
      <c r="G1077" s="27" t="str">
        <v/>
      </c>
      <c r="H1077" s="27" t="str">
        <v/>
      </c>
      <c r="I1077" s="27" t="str">
        <v/>
      </c>
    </row>
    <row r="1078" spans="1:9" x14ac:dyDescent="0.2">
      <c r="A1078" s="23" t="str">
        <v/>
      </c>
      <c r="B1078" s="25" t="str">
        <v/>
      </c>
      <c r="C1078" s="27" t="str">
        <v/>
      </c>
      <c r="D1078" s="27" t="str">
        <v/>
      </c>
      <c r="E1078" s="27" t="str">
        <v/>
      </c>
      <c r="F1078" s="27" t="str">
        <v/>
      </c>
      <c r="G1078" s="27" t="str">
        <v/>
      </c>
      <c r="H1078" s="27" t="str">
        <v/>
      </c>
      <c r="I1078" s="27" t="str">
        <v/>
      </c>
    </row>
    <row r="1079" spans="1:9" x14ac:dyDescent="0.2">
      <c r="A1079" s="23" t="str">
        <v/>
      </c>
      <c r="B1079" s="25" t="str">
        <v/>
      </c>
      <c r="C1079" s="27" t="str">
        <v/>
      </c>
      <c r="D1079" s="27" t="str">
        <v/>
      </c>
      <c r="E1079" s="27" t="str">
        <v/>
      </c>
      <c r="F1079" s="27" t="str">
        <v/>
      </c>
      <c r="G1079" s="27" t="str">
        <v/>
      </c>
      <c r="H1079" s="27" t="str">
        <v/>
      </c>
      <c r="I1079" s="27" t="str">
        <v/>
      </c>
    </row>
    <row r="1080" spans="1:9" x14ac:dyDescent="0.2">
      <c r="A1080" s="23" t="str">
        <v/>
      </c>
      <c r="B1080" s="25" t="str">
        <v/>
      </c>
      <c r="C1080" s="27" t="str">
        <v/>
      </c>
      <c r="D1080" s="27" t="str">
        <v/>
      </c>
      <c r="E1080" s="27" t="str">
        <v/>
      </c>
      <c r="F1080" s="27" t="str">
        <v/>
      </c>
      <c r="G1080" s="27" t="str">
        <v/>
      </c>
      <c r="H1080" s="27" t="str">
        <v/>
      </c>
      <c r="I1080" s="27" t="str">
        <v/>
      </c>
    </row>
    <row r="1081" spans="1:9" x14ac:dyDescent="0.2">
      <c r="A1081" s="23" t="str">
        <v/>
      </c>
      <c r="B1081" s="25" t="str">
        <v/>
      </c>
      <c r="C1081" s="27" t="str">
        <v/>
      </c>
      <c r="D1081" s="27" t="str">
        <v/>
      </c>
      <c r="E1081" s="27" t="str">
        <v/>
      </c>
      <c r="F1081" s="27" t="str">
        <v/>
      </c>
      <c r="G1081" s="27" t="str">
        <v/>
      </c>
      <c r="H1081" s="27" t="str">
        <v/>
      </c>
      <c r="I1081" s="27" t="str">
        <v/>
      </c>
    </row>
    <row r="1082" spans="1:9" x14ac:dyDescent="0.2">
      <c r="A1082" s="23" t="str">
        <v/>
      </c>
      <c r="B1082" s="25" t="str">
        <v/>
      </c>
      <c r="C1082" s="27" t="str">
        <v/>
      </c>
      <c r="D1082" s="27" t="str">
        <v/>
      </c>
      <c r="E1082" s="27" t="str">
        <v/>
      </c>
      <c r="F1082" s="27" t="str">
        <v/>
      </c>
      <c r="G1082" s="27" t="str">
        <v/>
      </c>
      <c r="H1082" s="27" t="str">
        <v/>
      </c>
      <c r="I1082" s="27" t="str">
        <v/>
      </c>
    </row>
    <row r="1083" spans="1:9" x14ac:dyDescent="0.2">
      <c r="A1083" s="23" t="str">
        <v/>
      </c>
      <c r="B1083" s="25" t="str">
        <v/>
      </c>
      <c r="C1083" s="27" t="str">
        <v/>
      </c>
      <c r="D1083" s="27" t="str">
        <v/>
      </c>
      <c r="E1083" s="27" t="str">
        <v/>
      </c>
      <c r="F1083" s="27" t="str">
        <v/>
      </c>
      <c r="G1083" s="27" t="str">
        <v/>
      </c>
      <c r="H1083" s="27" t="str">
        <v/>
      </c>
      <c r="I1083" s="27" t="str">
        <v/>
      </c>
    </row>
    <row r="1084" spans="1:9" x14ac:dyDescent="0.2">
      <c r="A1084" s="23" t="str">
        <v/>
      </c>
      <c r="B1084" s="25" t="str">
        <v/>
      </c>
      <c r="C1084" s="27" t="str">
        <v/>
      </c>
      <c r="D1084" s="27" t="str">
        <v/>
      </c>
      <c r="E1084" s="27" t="str">
        <v/>
      </c>
      <c r="F1084" s="27" t="str">
        <v/>
      </c>
      <c r="G1084" s="27" t="str">
        <v/>
      </c>
      <c r="H1084" s="27" t="str">
        <v/>
      </c>
      <c r="I1084" s="27" t="str">
        <v/>
      </c>
    </row>
    <row r="1085" spans="1:9" x14ac:dyDescent="0.2">
      <c r="A1085" s="23" t="str">
        <v/>
      </c>
      <c r="B1085" s="25" t="str">
        <v/>
      </c>
      <c r="C1085" s="27" t="str">
        <v/>
      </c>
      <c r="D1085" s="27" t="str">
        <v/>
      </c>
      <c r="E1085" s="27" t="str">
        <v/>
      </c>
      <c r="F1085" s="27" t="str">
        <v/>
      </c>
      <c r="G1085" s="27" t="str">
        <v/>
      </c>
      <c r="H1085" s="27" t="str">
        <v/>
      </c>
      <c r="I1085" s="27" t="str">
        <v/>
      </c>
    </row>
    <row r="1086" spans="1:9" x14ac:dyDescent="0.2">
      <c r="A1086" s="23" t="str">
        <v/>
      </c>
      <c r="B1086" s="25" t="str">
        <v/>
      </c>
      <c r="C1086" s="27" t="str">
        <v/>
      </c>
      <c r="D1086" s="27" t="str">
        <v/>
      </c>
      <c r="E1086" s="27" t="str">
        <v/>
      </c>
      <c r="F1086" s="27" t="str">
        <v/>
      </c>
      <c r="G1086" s="27" t="str">
        <v/>
      </c>
      <c r="H1086" s="27" t="str">
        <v/>
      </c>
      <c r="I1086" s="27" t="str">
        <v/>
      </c>
    </row>
    <row r="1087" spans="1:9" x14ac:dyDescent="0.2">
      <c r="A1087" s="23" t="str">
        <v/>
      </c>
      <c r="B1087" s="25" t="str">
        <v/>
      </c>
      <c r="C1087" s="27" t="str">
        <v/>
      </c>
      <c r="D1087" s="27" t="str">
        <v/>
      </c>
      <c r="E1087" s="27" t="str">
        <v/>
      </c>
      <c r="F1087" s="27" t="str">
        <v/>
      </c>
      <c r="G1087" s="27" t="str">
        <v/>
      </c>
      <c r="H1087" s="27" t="str">
        <v/>
      </c>
      <c r="I1087" s="27" t="str">
        <v/>
      </c>
    </row>
    <row r="1088" spans="1:9" x14ac:dyDescent="0.2">
      <c r="A1088" s="23" t="str">
        <v/>
      </c>
      <c r="B1088" s="25" t="str">
        <v/>
      </c>
      <c r="C1088" s="27" t="str">
        <v/>
      </c>
      <c r="D1088" s="27" t="str">
        <v/>
      </c>
      <c r="E1088" s="27" t="str">
        <v/>
      </c>
      <c r="F1088" s="27" t="str">
        <v/>
      </c>
      <c r="G1088" s="27" t="str">
        <v/>
      </c>
      <c r="H1088" s="27" t="str">
        <v/>
      </c>
      <c r="I1088" s="27" t="str">
        <v/>
      </c>
    </row>
    <row r="1089" spans="1:9" x14ac:dyDescent="0.2">
      <c r="A1089" s="23" t="str">
        <v/>
      </c>
      <c r="B1089" s="25" t="str">
        <v/>
      </c>
      <c r="C1089" s="27" t="str">
        <v/>
      </c>
      <c r="D1089" s="27" t="str">
        <v/>
      </c>
      <c r="E1089" s="27" t="str">
        <v/>
      </c>
      <c r="F1089" s="27" t="str">
        <v/>
      </c>
      <c r="G1089" s="27" t="str">
        <v/>
      </c>
      <c r="H1089" s="27" t="str">
        <v/>
      </c>
      <c r="I1089" s="27" t="str">
        <v/>
      </c>
    </row>
    <row r="1090" spans="1:9" x14ac:dyDescent="0.2">
      <c r="A1090" s="23" t="str">
        <v/>
      </c>
      <c r="B1090" s="25" t="str">
        <v/>
      </c>
      <c r="C1090" s="27" t="str">
        <v/>
      </c>
      <c r="D1090" s="27" t="str">
        <v/>
      </c>
      <c r="E1090" s="27" t="str">
        <v/>
      </c>
      <c r="F1090" s="27" t="str">
        <v/>
      </c>
      <c r="G1090" s="27" t="str">
        <v/>
      </c>
      <c r="H1090" s="27" t="str">
        <v/>
      </c>
      <c r="I1090" s="27" t="str">
        <v/>
      </c>
    </row>
    <row r="1091" spans="1:9" x14ac:dyDescent="0.2">
      <c r="A1091" s="23" t="str">
        <v/>
      </c>
      <c r="B1091" s="25" t="str">
        <v/>
      </c>
      <c r="C1091" s="27" t="str">
        <v/>
      </c>
      <c r="D1091" s="27" t="str">
        <v/>
      </c>
      <c r="E1091" s="27" t="str">
        <v/>
      </c>
      <c r="F1091" s="27" t="str">
        <v/>
      </c>
      <c r="G1091" s="27" t="str">
        <v/>
      </c>
      <c r="H1091" s="27" t="str">
        <v/>
      </c>
      <c r="I1091" s="27" t="str">
        <v/>
      </c>
    </row>
    <row r="1092" spans="1:9" x14ac:dyDescent="0.2">
      <c r="A1092" s="23" t="str">
        <v/>
      </c>
      <c r="B1092" s="25" t="str">
        <v/>
      </c>
      <c r="C1092" s="27" t="str">
        <v/>
      </c>
      <c r="D1092" s="27" t="str">
        <v/>
      </c>
      <c r="E1092" s="27" t="str">
        <v/>
      </c>
      <c r="F1092" s="27" t="str">
        <v/>
      </c>
      <c r="G1092" s="27" t="str">
        <v/>
      </c>
      <c r="H1092" s="27" t="str">
        <v/>
      </c>
      <c r="I1092" s="27" t="str">
        <v/>
      </c>
    </row>
    <row r="1093" spans="1:9" x14ac:dyDescent="0.2">
      <c r="A1093" s="23" t="str">
        <v/>
      </c>
      <c r="B1093" s="25" t="str">
        <v/>
      </c>
      <c r="C1093" s="27" t="str">
        <v/>
      </c>
      <c r="D1093" s="27" t="str">
        <v/>
      </c>
      <c r="E1093" s="27" t="str">
        <v/>
      </c>
      <c r="F1093" s="27" t="str">
        <v/>
      </c>
      <c r="G1093" s="27" t="str">
        <v/>
      </c>
      <c r="H1093" s="27" t="str">
        <v/>
      </c>
      <c r="I1093" s="27" t="str">
        <v/>
      </c>
    </row>
    <row r="1094" spans="1:9" x14ac:dyDescent="0.2">
      <c r="A1094" s="23" t="str">
        <v/>
      </c>
      <c r="B1094" s="25" t="str">
        <v/>
      </c>
      <c r="C1094" s="27" t="str">
        <v/>
      </c>
      <c r="D1094" s="27" t="str">
        <v/>
      </c>
      <c r="E1094" s="27" t="str">
        <v/>
      </c>
      <c r="F1094" s="27" t="str">
        <v/>
      </c>
      <c r="G1094" s="27" t="str">
        <v/>
      </c>
      <c r="H1094" s="27" t="str">
        <v/>
      </c>
      <c r="I1094" s="27" t="str">
        <v/>
      </c>
    </row>
    <row r="1095" spans="1:9" x14ac:dyDescent="0.2">
      <c r="A1095" s="23" t="str">
        <v/>
      </c>
      <c r="B1095" s="25" t="str">
        <v/>
      </c>
      <c r="C1095" s="27" t="str">
        <v/>
      </c>
      <c r="D1095" s="27" t="str">
        <v/>
      </c>
      <c r="E1095" s="27" t="str">
        <v/>
      </c>
      <c r="F1095" s="27" t="str">
        <v/>
      </c>
      <c r="G1095" s="27" t="str">
        <v/>
      </c>
      <c r="H1095" s="27" t="str">
        <v/>
      </c>
      <c r="I1095" s="27" t="str">
        <v/>
      </c>
    </row>
    <row r="1096" spans="1:9" x14ac:dyDescent="0.2">
      <c r="A1096" s="23" t="str">
        <v/>
      </c>
      <c r="B1096" s="25" t="str">
        <v/>
      </c>
      <c r="C1096" s="27" t="str">
        <v/>
      </c>
      <c r="D1096" s="27" t="str">
        <v/>
      </c>
      <c r="E1096" s="27" t="str">
        <v/>
      </c>
      <c r="F1096" s="27" t="str">
        <v/>
      </c>
      <c r="G1096" s="27" t="str">
        <v/>
      </c>
      <c r="H1096" s="27" t="str">
        <v/>
      </c>
      <c r="I1096" s="27" t="str">
        <v/>
      </c>
    </row>
    <row r="1097" spans="1:9" x14ac:dyDescent="0.2">
      <c r="A1097" s="23" t="str">
        <v/>
      </c>
      <c r="B1097" s="25" t="str">
        <v/>
      </c>
      <c r="C1097" s="27" t="str">
        <v/>
      </c>
      <c r="D1097" s="27" t="str">
        <v/>
      </c>
      <c r="E1097" s="27" t="str">
        <v/>
      </c>
      <c r="F1097" s="27" t="str">
        <v/>
      </c>
      <c r="G1097" s="27" t="str">
        <v/>
      </c>
      <c r="H1097" s="27" t="str">
        <v/>
      </c>
      <c r="I1097" s="27" t="str">
        <v/>
      </c>
    </row>
    <row r="1098" spans="1:9" x14ac:dyDescent="0.2">
      <c r="A1098" s="23" t="str">
        <v/>
      </c>
      <c r="B1098" s="25" t="str">
        <v/>
      </c>
      <c r="C1098" s="27" t="str">
        <v/>
      </c>
      <c r="D1098" s="27" t="str">
        <v/>
      </c>
      <c r="E1098" s="27" t="str">
        <v/>
      </c>
      <c r="F1098" s="27" t="str">
        <v/>
      </c>
      <c r="G1098" s="27" t="str">
        <v/>
      </c>
      <c r="H1098" s="27" t="str">
        <v/>
      </c>
      <c r="I1098" s="27" t="str">
        <v/>
      </c>
    </row>
    <row r="1099" spans="1:9" x14ac:dyDescent="0.2">
      <c r="A1099" s="23" t="str">
        <v/>
      </c>
      <c r="B1099" s="25" t="str">
        <v/>
      </c>
      <c r="C1099" s="27" t="str">
        <v/>
      </c>
      <c r="D1099" s="27" t="str">
        <v/>
      </c>
      <c r="E1099" s="27" t="str">
        <v/>
      </c>
      <c r="F1099" s="27" t="str">
        <v/>
      </c>
      <c r="G1099" s="27" t="str">
        <v/>
      </c>
      <c r="H1099" s="27" t="str">
        <v/>
      </c>
      <c r="I1099" s="27" t="str">
        <v/>
      </c>
    </row>
    <row r="1100" spans="1:9" x14ac:dyDescent="0.2">
      <c r="A1100" s="23" t="str">
        <v/>
      </c>
      <c r="B1100" s="25" t="str">
        <v/>
      </c>
      <c r="C1100" s="27" t="str">
        <v/>
      </c>
      <c r="D1100" s="27" t="str">
        <v/>
      </c>
      <c r="E1100" s="27" t="str">
        <v/>
      </c>
      <c r="F1100" s="27" t="str">
        <v/>
      </c>
      <c r="G1100" s="27" t="str">
        <v/>
      </c>
      <c r="H1100" s="27" t="str">
        <v/>
      </c>
      <c r="I1100" s="27" t="str">
        <v/>
      </c>
    </row>
    <row r="1101" spans="1:9" x14ac:dyDescent="0.2">
      <c r="A1101" s="23" t="str">
        <v/>
      </c>
      <c r="B1101" s="25" t="str">
        <v/>
      </c>
      <c r="C1101" s="27" t="str">
        <v/>
      </c>
      <c r="D1101" s="27" t="str">
        <v/>
      </c>
      <c r="E1101" s="27" t="str">
        <v/>
      </c>
      <c r="F1101" s="27" t="str">
        <v/>
      </c>
      <c r="G1101" s="27" t="str">
        <v/>
      </c>
      <c r="H1101" s="27" t="str">
        <v/>
      </c>
      <c r="I1101" s="27" t="str">
        <v/>
      </c>
    </row>
    <row r="1102" spans="1:9" x14ac:dyDescent="0.2">
      <c r="A1102" s="23" t="str">
        <v/>
      </c>
      <c r="B1102" s="25" t="str">
        <v/>
      </c>
      <c r="C1102" s="27" t="str">
        <v/>
      </c>
      <c r="D1102" s="27" t="str">
        <v/>
      </c>
      <c r="E1102" s="27" t="str">
        <v/>
      </c>
      <c r="F1102" s="27" t="str">
        <v/>
      </c>
      <c r="G1102" s="27" t="str">
        <v/>
      </c>
      <c r="H1102" s="27" t="str">
        <v/>
      </c>
      <c r="I1102" s="27" t="str">
        <v/>
      </c>
    </row>
    <row r="1103" spans="1:9" x14ac:dyDescent="0.2">
      <c r="A1103" s="23" t="str">
        <v/>
      </c>
      <c r="B1103" s="25" t="str">
        <v/>
      </c>
      <c r="C1103" s="27" t="str">
        <v/>
      </c>
      <c r="D1103" s="27" t="str">
        <v/>
      </c>
      <c r="E1103" s="27" t="str">
        <v/>
      </c>
      <c r="F1103" s="27" t="str">
        <v/>
      </c>
      <c r="G1103" s="27" t="str">
        <v/>
      </c>
      <c r="H1103" s="27" t="str">
        <v/>
      </c>
      <c r="I1103" s="27" t="str">
        <v/>
      </c>
    </row>
    <row r="1104" spans="1:9" x14ac:dyDescent="0.2">
      <c r="A1104" s="23" t="str">
        <v/>
      </c>
      <c r="B1104" s="25" t="str">
        <v/>
      </c>
      <c r="C1104" s="27" t="str">
        <v/>
      </c>
      <c r="D1104" s="27" t="str">
        <v/>
      </c>
      <c r="E1104" s="27" t="str">
        <v/>
      </c>
      <c r="F1104" s="27" t="str">
        <v/>
      </c>
      <c r="G1104" s="27" t="str">
        <v/>
      </c>
      <c r="H1104" s="27" t="str">
        <v/>
      </c>
      <c r="I1104" s="27" t="str">
        <v/>
      </c>
    </row>
    <row r="1105" spans="1:9" x14ac:dyDescent="0.2">
      <c r="A1105" s="23" t="str">
        <v/>
      </c>
      <c r="B1105" s="25" t="str">
        <v/>
      </c>
      <c r="C1105" s="27" t="str">
        <v/>
      </c>
      <c r="D1105" s="27" t="str">
        <v/>
      </c>
      <c r="E1105" s="27" t="str">
        <v/>
      </c>
      <c r="F1105" s="27" t="str">
        <v/>
      </c>
      <c r="G1105" s="27" t="str">
        <v/>
      </c>
      <c r="H1105" s="27" t="str">
        <v/>
      </c>
      <c r="I1105" s="27" t="str">
        <v/>
      </c>
    </row>
    <row r="1106" spans="1:9" x14ac:dyDescent="0.2">
      <c r="A1106" s="23" t="str">
        <v/>
      </c>
      <c r="B1106" s="25" t="str">
        <v/>
      </c>
      <c r="C1106" s="27" t="str">
        <v/>
      </c>
      <c r="D1106" s="27" t="str">
        <v/>
      </c>
      <c r="E1106" s="27" t="str">
        <v/>
      </c>
      <c r="F1106" s="27" t="str">
        <v/>
      </c>
      <c r="G1106" s="27" t="str">
        <v/>
      </c>
      <c r="H1106" s="27" t="str">
        <v/>
      </c>
      <c r="I1106" s="27" t="str">
        <v/>
      </c>
    </row>
    <row r="1107" spans="1:9" x14ac:dyDescent="0.2">
      <c r="A1107" s="23" t="str">
        <v/>
      </c>
      <c r="B1107" s="25" t="str">
        <v/>
      </c>
      <c r="C1107" s="27" t="str">
        <v/>
      </c>
      <c r="D1107" s="27" t="str">
        <v/>
      </c>
      <c r="E1107" s="27" t="str">
        <v/>
      </c>
      <c r="F1107" s="27" t="str">
        <v/>
      </c>
      <c r="G1107" s="27" t="str">
        <v/>
      </c>
      <c r="H1107" s="27" t="str">
        <v/>
      </c>
      <c r="I1107" s="27" t="str">
        <v/>
      </c>
    </row>
    <row r="1108" spans="1:9" x14ac:dyDescent="0.2">
      <c r="A1108" s="23" t="str">
        <v/>
      </c>
      <c r="B1108" s="25" t="str">
        <v/>
      </c>
      <c r="C1108" s="27" t="str">
        <v/>
      </c>
      <c r="D1108" s="27" t="str">
        <v/>
      </c>
      <c r="E1108" s="27" t="str">
        <v/>
      </c>
      <c r="F1108" s="27" t="str">
        <v/>
      </c>
      <c r="G1108" s="27" t="str">
        <v/>
      </c>
      <c r="H1108" s="27" t="str">
        <v/>
      </c>
      <c r="I1108" s="27" t="str">
        <v/>
      </c>
    </row>
    <row r="1109" spans="1:9" x14ac:dyDescent="0.2">
      <c r="A1109" s="23" t="str">
        <v/>
      </c>
      <c r="B1109" s="25" t="str">
        <v/>
      </c>
      <c r="C1109" s="27" t="str">
        <v/>
      </c>
      <c r="D1109" s="27" t="str">
        <v/>
      </c>
      <c r="E1109" s="27" t="str">
        <v/>
      </c>
      <c r="F1109" s="27" t="str">
        <v/>
      </c>
      <c r="G1109" s="27" t="str">
        <v/>
      </c>
      <c r="H1109" s="27" t="str">
        <v/>
      </c>
      <c r="I1109" s="27" t="str">
        <v/>
      </c>
    </row>
    <row r="1110" spans="1:9" x14ac:dyDescent="0.2">
      <c r="A1110" s="23" t="str">
        <v/>
      </c>
      <c r="B1110" s="25" t="str">
        <v/>
      </c>
      <c r="C1110" s="27" t="str">
        <v/>
      </c>
      <c r="D1110" s="27" t="str">
        <v/>
      </c>
      <c r="E1110" s="27" t="str">
        <v/>
      </c>
      <c r="F1110" s="27" t="str">
        <v/>
      </c>
      <c r="G1110" s="27" t="str">
        <v/>
      </c>
      <c r="H1110" s="27" t="str">
        <v/>
      </c>
      <c r="I1110" s="27" t="str">
        <v/>
      </c>
    </row>
    <row r="1111" spans="1:9" x14ac:dyDescent="0.2">
      <c r="A1111" s="23" t="str">
        <v/>
      </c>
      <c r="B1111" s="25" t="str">
        <v/>
      </c>
      <c r="C1111" s="27" t="str">
        <v/>
      </c>
      <c r="D1111" s="27" t="str">
        <v/>
      </c>
      <c r="E1111" s="27" t="str">
        <v/>
      </c>
      <c r="F1111" s="27" t="str">
        <v/>
      </c>
      <c r="G1111" s="27" t="str">
        <v/>
      </c>
      <c r="H1111" s="27" t="str">
        <v/>
      </c>
      <c r="I1111" s="27" t="str">
        <v/>
      </c>
    </row>
    <row r="1112" spans="1:9" x14ac:dyDescent="0.2">
      <c r="A1112" s="23" t="str">
        <v/>
      </c>
      <c r="B1112" s="25" t="str">
        <v/>
      </c>
      <c r="C1112" s="27" t="str">
        <v/>
      </c>
      <c r="D1112" s="27" t="str">
        <v/>
      </c>
      <c r="E1112" s="27" t="str">
        <v/>
      </c>
      <c r="F1112" s="27" t="str">
        <v/>
      </c>
      <c r="G1112" s="27" t="str">
        <v/>
      </c>
      <c r="H1112" s="27" t="str">
        <v/>
      </c>
      <c r="I1112" s="27" t="str">
        <v/>
      </c>
    </row>
    <row r="1113" spans="1:9" x14ac:dyDescent="0.2">
      <c r="A1113" s="23" t="str">
        <v/>
      </c>
      <c r="B1113" s="25" t="str">
        <v/>
      </c>
      <c r="C1113" s="27" t="str">
        <v/>
      </c>
      <c r="D1113" s="27" t="str">
        <v/>
      </c>
      <c r="E1113" s="27" t="str">
        <v/>
      </c>
      <c r="F1113" s="27" t="str">
        <v/>
      </c>
      <c r="G1113" s="27" t="str">
        <v/>
      </c>
      <c r="H1113" s="27" t="str">
        <v/>
      </c>
      <c r="I1113" s="27" t="str">
        <v/>
      </c>
    </row>
    <row r="1114" spans="1:9" x14ac:dyDescent="0.2">
      <c r="A1114" s="23" t="str">
        <v/>
      </c>
      <c r="B1114" s="25" t="str">
        <v/>
      </c>
      <c r="C1114" s="27" t="str">
        <v/>
      </c>
      <c r="D1114" s="27" t="str">
        <v/>
      </c>
      <c r="E1114" s="27" t="str">
        <v/>
      </c>
      <c r="F1114" s="27" t="str">
        <v/>
      </c>
      <c r="G1114" s="27" t="str">
        <v/>
      </c>
      <c r="H1114" s="27" t="str">
        <v/>
      </c>
      <c r="I1114" s="27" t="str">
        <v/>
      </c>
    </row>
    <row r="1115" spans="1:9" x14ac:dyDescent="0.2">
      <c r="A1115" s="23" t="str">
        <v/>
      </c>
      <c r="B1115" s="25" t="str">
        <v/>
      </c>
      <c r="C1115" s="27" t="str">
        <v/>
      </c>
      <c r="D1115" s="27" t="str">
        <v/>
      </c>
      <c r="E1115" s="27" t="str">
        <v/>
      </c>
      <c r="F1115" s="27" t="str">
        <v/>
      </c>
      <c r="G1115" s="27" t="str">
        <v/>
      </c>
      <c r="H1115" s="27" t="str">
        <v/>
      </c>
      <c r="I1115" s="27" t="str">
        <v/>
      </c>
    </row>
    <row r="1116" spans="1:9" x14ac:dyDescent="0.2">
      <c r="A1116" s="23" t="str">
        <v/>
      </c>
      <c r="B1116" s="25" t="str">
        <v/>
      </c>
      <c r="C1116" s="27" t="str">
        <v/>
      </c>
      <c r="D1116" s="27" t="str">
        <v/>
      </c>
      <c r="E1116" s="27" t="str">
        <v/>
      </c>
      <c r="F1116" s="27" t="str">
        <v/>
      </c>
      <c r="G1116" s="27" t="str">
        <v/>
      </c>
      <c r="H1116" s="27" t="str">
        <v/>
      </c>
      <c r="I1116" s="27" t="str">
        <v/>
      </c>
    </row>
    <row r="1117" spans="1:9" x14ac:dyDescent="0.2">
      <c r="A1117" s="23" t="str">
        <v/>
      </c>
      <c r="B1117" s="25" t="str">
        <v/>
      </c>
      <c r="C1117" s="27" t="str">
        <v/>
      </c>
      <c r="D1117" s="27" t="str">
        <v/>
      </c>
      <c r="E1117" s="27" t="str">
        <v/>
      </c>
      <c r="F1117" s="27" t="str">
        <v/>
      </c>
      <c r="G1117" s="27" t="str">
        <v/>
      </c>
      <c r="H1117" s="27" t="str">
        <v/>
      </c>
      <c r="I1117" s="27" t="str">
        <v/>
      </c>
    </row>
    <row r="1118" spans="1:9" x14ac:dyDescent="0.2">
      <c r="A1118" s="23" t="str">
        <v/>
      </c>
      <c r="B1118" s="25" t="str">
        <v/>
      </c>
      <c r="C1118" s="27" t="str">
        <v/>
      </c>
      <c r="D1118" s="27" t="str">
        <v/>
      </c>
      <c r="E1118" s="27" t="str">
        <v/>
      </c>
      <c r="F1118" s="27" t="str">
        <v/>
      </c>
      <c r="G1118" s="27" t="str">
        <v/>
      </c>
      <c r="H1118" s="27" t="str">
        <v/>
      </c>
      <c r="I1118" s="27" t="str">
        <v/>
      </c>
    </row>
    <row r="1119" spans="1:9" x14ac:dyDescent="0.2">
      <c r="A1119" s="23" t="str">
        <v/>
      </c>
      <c r="B1119" s="25" t="str">
        <v/>
      </c>
      <c r="C1119" s="27" t="str">
        <v/>
      </c>
      <c r="D1119" s="27" t="str">
        <v/>
      </c>
      <c r="E1119" s="27" t="str">
        <v/>
      </c>
      <c r="F1119" s="27" t="str">
        <v/>
      </c>
      <c r="G1119" s="27" t="str">
        <v/>
      </c>
      <c r="H1119" s="27" t="str">
        <v/>
      </c>
      <c r="I1119" s="27" t="str">
        <v/>
      </c>
    </row>
    <row r="1120" spans="1:9" x14ac:dyDescent="0.2">
      <c r="A1120" s="23" t="str">
        <v/>
      </c>
      <c r="B1120" s="25" t="str">
        <v/>
      </c>
      <c r="C1120" s="27" t="str">
        <v/>
      </c>
      <c r="D1120" s="27" t="str">
        <v/>
      </c>
      <c r="E1120" s="27" t="str">
        <v/>
      </c>
      <c r="F1120" s="27" t="str">
        <v/>
      </c>
      <c r="G1120" s="27" t="str">
        <v/>
      </c>
      <c r="H1120" s="27" t="str">
        <v/>
      </c>
      <c r="I1120" s="27" t="str">
        <v/>
      </c>
    </row>
    <row r="1121" spans="1:9" x14ac:dyDescent="0.2">
      <c r="A1121" s="23" t="str">
        <v/>
      </c>
      <c r="B1121" s="25" t="str">
        <v/>
      </c>
      <c r="C1121" s="27" t="str">
        <v/>
      </c>
      <c r="D1121" s="27" t="str">
        <v/>
      </c>
      <c r="E1121" s="27" t="str">
        <v/>
      </c>
      <c r="F1121" s="27" t="str">
        <v/>
      </c>
      <c r="G1121" s="27" t="str">
        <v/>
      </c>
      <c r="H1121" s="27" t="str">
        <v/>
      </c>
      <c r="I1121" s="27" t="str">
        <v/>
      </c>
    </row>
    <row r="1122" spans="1:9" x14ac:dyDescent="0.2">
      <c r="A1122" s="23" t="str">
        <v/>
      </c>
      <c r="B1122" s="25" t="str">
        <v/>
      </c>
      <c r="C1122" s="27" t="str">
        <v/>
      </c>
      <c r="D1122" s="27" t="str">
        <v/>
      </c>
      <c r="E1122" s="27" t="str">
        <v/>
      </c>
      <c r="F1122" s="27" t="str">
        <v/>
      </c>
      <c r="G1122" s="27" t="str">
        <v/>
      </c>
      <c r="H1122" s="27" t="str">
        <v/>
      </c>
      <c r="I1122" s="27" t="str">
        <v/>
      </c>
    </row>
    <row r="1123" spans="1:9" x14ac:dyDescent="0.2">
      <c r="A1123" s="23" t="str">
        <v/>
      </c>
      <c r="B1123" s="25" t="str">
        <v/>
      </c>
      <c r="C1123" s="27" t="str">
        <v/>
      </c>
      <c r="D1123" s="27" t="str">
        <v/>
      </c>
      <c r="E1123" s="27" t="str">
        <v/>
      </c>
      <c r="F1123" s="27" t="str">
        <v/>
      </c>
      <c r="G1123" s="27" t="str">
        <v/>
      </c>
      <c r="H1123" s="27" t="str">
        <v/>
      </c>
      <c r="I1123" s="27" t="str">
        <v/>
      </c>
    </row>
    <row r="1124" spans="1:9" x14ac:dyDescent="0.2">
      <c r="A1124" s="23" t="str">
        <v/>
      </c>
      <c r="B1124" s="25" t="str">
        <v/>
      </c>
      <c r="C1124" s="27" t="str">
        <v/>
      </c>
      <c r="D1124" s="27" t="str">
        <v/>
      </c>
      <c r="E1124" s="27" t="str">
        <v/>
      </c>
      <c r="F1124" s="27" t="str">
        <v/>
      </c>
      <c r="G1124" s="27" t="str">
        <v/>
      </c>
      <c r="H1124" s="27" t="str">
        <v/>
      </c>
      <c r="I1124" s="27" t="str">
        <v/>
      </c>
    </row>
    <row r="1125" spans="1:9" x14ac:dyDescent="0.2">
      <c r="A1125" s="23" t="str">
        <v/>
      </c>
      <c r="B1125" s="25" t="str">
        <v/>
      </c>
      <c r="C1125" s="27" t="str">
        <v/>
      </c>
      <c r="D1125" s="27" t="str">
        <v/>
      </c>
      <c r="E1125" s="27" t="str">
        <v/>
      </c>
      <c r="F1125" s="27" t="str">
        <v/>
      </c>
      <c r="G1125" s="27" t="str">
        <v/>
      </c>
      <c r="H1125" s="27" t="str">
        <v/>
      </c>
      <c r="I1125" s="27" t="str">
        <v/>
      </c>
    </row>
    <row r="1126" spans="1:9" x14ac:dyDescent="0.2">
      <c r="A1126" s="23" t="str">
        <v/>
      </c>
      <c r="B1126" s="25" t="str">
        <v/>
      </c>
      <c r="C1126" s="27" t="str">
        <v/>
      </c>
      <c r="D1126" s="27" t="str">
        <v/>
      </c>
      <c r="E1126" s="27" t="str">
        <v/>
      </c>
      <c r="F1126" s="27" t="str">
        <v/>
      </c>
      <c r="G1126" s="27" t="str">
        <v/>
      </c>
      <c r="H1126" s="27" t="str">
        <v/>
      </c>
      <c r="I1126" s="27" t="str">
        <v/>
      </c>
    </row>
    <row r="1127" spans="1:9" x14ac:dyDescent="0.2">
      <c r="A1127" s="23" t="str">
        <v/>
      </c>
      <c r="B1127" s="25" t="str">
        <v/>
      </c>
      <c r="C1127" s="27" t="str">
        <v/>
      </c>
      <c r="D1127" s="27" t="str">
        <v/>
      </c>
      <c r="E1127" s="27" t="str">
        <v/>
      </c>
      <c r="F1127" s="27" t="str">
        <v/>
      </c>
      <c r="G1127" s="27" t="str">
        <v/>
      </c>
      <c r="H1127" s="27" t="str">
        <v/>
      </c>
      <c r="I1127" s="27" t="str">
        <v/>
      </c>
    </row>
    <row r="1128" spans="1:9" x14ac:dyDescent="0.2">
      <c r="A1128" s="23" t="str">
        <v/>
      </c>
      <c r="B1128" s="25" t="str">
        <v/>
      </c>
      <c r="C1128" s="27" t="str">
        <v/>
      </c>
      <c r="D1128" s="27" t="str">
        <v/>
      </c>
      <c r="E1128" s="27" t="str">
        <v/>
      </c>
      <c r="F1128" s="27" t="str">
        <v/>
      </c>
      <c r="G1128" s="27" t="str">
        <v/>
      </c>
      <c r="H1128" s="27" t="str">
        <v/>
      </c>
      <c r="I1128" s="27" t="str">
        <v/>
      </c>
    </row>
    <row r="1129" spans="1:9" x14ac:dyDescent="0.2">
      <c r="A1129" s="23" t="str">
        <v/>
      </c>
      <c r="B1129" s="25" t="str">
        <v/>
      </c>
      <c r="C1129" s="27" t="str">
        <v/>
      </c>
      <c r="D1129" s="27" t="str">
        <v/>
      </c>
      <c r="E1129" s="27" t="str">
        <v/>
      </c>
      <c r="F1129" s="27" t="str">
        <v/>
      </c>
      <c r="G1129" s="27" t="str">
        <v/>
      </c>
      <c r="H1129" s="27" t="str">
        <v/>
      </c>
      <c r="I1129" s="27" t="str">
        <v/>
      </c>
    </row>
    <row r="1130" spans="1:9" x14ac:dyDescent="0.2">
      <c r="A1130" s="23" t="str">
        <v/>
      </c>
      <c r="B1130" s="25" t="str">
        <v/>
      </c>
      <c r="C1130" s="27" t="str">
        <v/>
      </c>
      <c r="D1130" s="27" t="str">
        <v/>
      </c>
      <c r="E1130" s="27" t="str">
        <v/>
      </c>
      <c r="F1130" s="27" t="str">
        <v/>
      </c>
      <c r="G1130" s="27" t="str">
        <v/>
      </c>
      <c r="H1130" s="27" t="str">
        <v/>
      </c>
      <c r="I1130" s="27" t="str">
        <v/>
      </c>
    </row>
    <row r="1131" spans="1:9" x14ac:dyDescent="0.2">
      <c r="A1131" s="23" t="str">
        <v/>
      </c>
      <c r="B1131" s="25" t="str">
        <v/>
      </c>
      <c r="C1131" s="27" t="str">
        <v/>
      </c>
      <c r="D1131" s="27" t="str">
        <v/>
      </c>
      <c r="E1131" s="27" t="str">
        <v/>
      </c>
      <c r="F1131" s="27" t="str">
        <v/>
      </c>
      <c r="G1131" s="27" t="str">
        <v/>
      </c>
      <c r="H1131" s="27" t="str">
        <v/>
      </c>
      <c r="I1131" s="27" t="str">
        <v/>
      </c>
    </row>
    <row r="1132" spans="1:9" x14ac:dyDescent="0.2">
      <c r="A1132" s="23" t="str">
        <v/>
      </c>
      <c r="B1132" s="25" t="str">
        <v/>
      </c>
      <c r="C1132" s="27" t="str">
        <v/>
      </c>
      <c r="D1132" s="27" t="str">
        <v/>
      </c>
      <c r="E1132" s="27" t="str">
        <v/>
      </c>
      <c r="F1132" s="27" t="str">
        <v/>
      </c>
      <c r="G1132" s="27" t="str">
        <v/>
      </c>
      <c r="H1132" s="27" t="str">
        <v/>
      </c>
      <c r="I1132" s="27" t="str">
        <v/>
      </c>
    </row>
    <row r="1133" spans="1:9" x14ac:dyDescent="0.2">
      <c r="A1133" s="23" t="str">
        <v/>
      </c>
      <c r="B1133" s="25" t="str">
        <v/>
      </c>
      <c r="C1133" s="27" t="str">
        <v/>
      </c>
      <c r="D1133" s="27" t="str">
        <v/>
      </c>
      <c r="E1133" s="27" t="str">
        <v/>
      </c>
      <c r="F1133" s="27" t="str">
        <v/>
      </c>
      <c r="G1133" s="27" t="str">
        <v/>
      </c>
      <c r="H1133" s="27" t="str">
        <v/>
      </c>
      <c r="I1133" s="27" t="str">
        <v/>
      </c>
    </row>
    <row r="1134" spans="1:9" x14ac:dyDescent="0.2">
      <c r="A1134" s="23" t="str">
        <v/>
      </c>
      <c r="B1134" s="25" t="str">
        <v/>
      </c>
      <c r="C1134" s="27" t="str">
        <v/>
      </c>
      <c r="D1134" s="27" t="str">
        <v/>
      </c>
      <c r="E1134" s="27" t="str">
        <v/>
      </c>
      <c r="F1134" s="27" t="str">
        <v/>
      </c>
      <c r="G1134" s="27" t="str">
        <v/>
      </c>
      <c r="H1134" s="27" t="str">
        <v/>
      </c>
      <c r="I1134" s="27" t="str">
        <v/>
      </c>
    </row>
    <row r="1135" spans="1:9" x14ac:dyDescent="0.2">
      <c r="A1135" s="23" t="str">
        <v/>
      </c>
      <c r="B1135" s="25" t="str">
        <v/>
      </c>
      <c r="C1135" s="27" t="str">
        <v/>
      </c>
      <c r="D1135" s="27" t="str">
        <v/>
      </c>
      <c r="E1135" s="27" t="str">
        <v/>
      </c>
      <c r="F1135" s="27" t="str">
        <v/>
      </c>
      <c r="G1135" s="27" t="str">
        <v/>
      </c>
      <c r="H1135" s="27" t="str">
        <v/>
      </c>
      <c r="I1135" s="27" t="str">
        <v/>
      </c>
    </row>
    <row r="1136" spans="1:9" x14ac:dyDescent="0.2">
      <c r="A1136" s="23" t="str">
        <v/>
      </c>
      <c r="B1136" s="25" t="str">
        <v/>
      </c>
      <c r="C1136" s="27" t="str">
        <v/>
      </c>
      <c r="D1136" s="27" t="str">
        <v/>
      </c>
      <c r="E1136" s="27" t="str">
        <v/>
      </c>
      <c r="F1136" s="27" t="str">
        <v/>
      </c>
      <c r="G1136" s="27" t="str">
        <v/>
      </c>
      <c r="H1136" s="27" t="str">
        <v/>
      </c>
      <c r="I1136" s="27" t="str">
        <v/>
      </c>
    </row>
    <row r="1137" spans="1:9" x14ac:dyDescent="0.2">
      <c r="A1137" s="23" t="str">
        <v/>
      </c>
      <c r="B1137" s="25" t="str">
        <v/>
      </c>
      <c r="C1137" s="27" t="str">
        <v/>
      </c>
      <c r="D1137" s="27" t="str">
        <v/>
      </c>
      <c r="E1137" s="27" t="str">
        <v/>
      </c>
      <c r="F1137" s="27" t="str">
        <v/>
      </c>
      <c r="G1137" s="27" t="str">
        <v/>
      </c>
      <c r="H1137" s="27" t="str">
        <v/>
      </c>
      <c r="I1137" s="27" t="str">
        <v/>
      </c>
    </row>
    <row r="1138" spans="1:9" x14ac:dyDescent="0.2">
      <c r="A1138" s="23" t="str">
        <v/>
      </c>
      <c r="B1138" s="25" t="str">
        <v/>
      </c>
      <c r="C1138" s="27" t="str">
        <v/>
      </c>
      <c r="D1138" s="27" t="str">
        <v/>
      </c>
      <c r="E1138" s="27" t="str">
        <v/>
      </c>
      <c r="F1138" s="27" t="str">
        <v/>
      </c>
      <c r="G1138" s="27" t="str">
        <v/>
      </c>
      <c r="H1138" s="27" t="str">
        <v/>
      </c>
      <c r="I1138" s="27" t="str">
        <v/>
      </c>
    </row>
    <row r="1139" spans="1:9" x14ac:dyDescent="0.2">
      <c r="A1139" s="23" t="str">
        <v/>
      </c>
      <c r="B1139" s="25" t="str">
        <v/>
      </c>
      <c r="C1139" s="27" t="str">
        <v/>
      </c>
      <c r="D1139" s="27" t="str">
        <v/>
      </c>
      <c r="E1139" s="27" t="str">
        <v/>
      </c>
      <c r="F1139" s="27" t="str">
        <v/>
      </c>
      <c r="G1139" s="27" t="str">
        <v/>
      </c>
      <c r="H1139" s="27" t="str">
        <v/>
      </c>
      <c r="I1139" s="27" t="str">
        <v/>
      </c>
    </row>
    <row r="1140" spans="1:9" x14ac:dyDescent="0.2">
      <c r="A1140" s="23" t="str">
        <v/>
      </c>
      <c r="B1140" s="25" t="str">
        <v/>
      </c>
      <c r="C1140" s="27" t="str">
        <v/>
      </c>
      <c r="D1140" s="27" t="str">
        <v/>
      </c>
      <c r="E1140" s="27" t="str">
        <v/>
      </c>
      <c r="F1140" s="27" t="str">
        <v/>
      </c>
      <c r="G1140" s="27" t="str">
        <v/>
      </c>
      <c r="H1140" s="27" t="str">
        <v/>
      </c>
      <c r="I1140" s="27" t="str">
        <v/>
      </c>
    </row>
    <row r="1141" spans="1:9" x14ac:dyDescent="0.2">
      <c r="A1141" s="23" t="str">
        <v/>
      </c>
      <c r="B1141" s="25" t="str">
        <v/>
      </c>
      <c r="C1141" s="27" t="str">
        <v/>
      </c>
      <c r="D1141" s="27" t="str">
        <v/>
      </c>
      <c r="E1141" s="27" t="str">
        <v/>
      </c>
      <c r="F1141" s="27" t="str">
        <v/>
      </c>
      <c r="G1141" s="27" t="str">
        <v/>
      </c>
      <c r="H1141" s="27" t="str">
        <v/>
      </c>
      <c r="I1141" s="27" t="str">
        <v/>
      </c>
    </row>
    <row r="1142" spans="1:9" x14ac:dyDescent="0.2">
      <c r="A1142" s="23" t="str">
        <v/>
      </c>
      <c r="B1142" s="25" t="str">
        <v/>
      </c>
      <c r="C1142" s="27" t="str">
        <v/>
      </c>
      <c r="D1142" s="27" t="str">
        <v/>
      </c>
      <c r="E1142" s="27" t="str">
        <v/>
      </c>
      <c r="F1142" s="27" t="str">
        <v/>
      </c>
      <c r="G1142" s="27" t="str">
        <v/>
      </c>
      <c r="H1142" s="27" t="str">
        <v/>
      </c>
      <c r="I1142" s="27" t="str">
        <v/>
      </c>
    </row>
    <row r="1143" spans="1:9" x14ac:dyDescent="0.2">
      <c r="A1143" s="23" t="str">
        <v/>
      </c>
      <c r="B1143" s="25" t="str">
        <v/>
      </c>
      <c r="C1143" s="27" t="str">
        <v/>
      </c>
      <c r="D1143" s="27" t="str">
        <v/>
      </c>
      <c r="E1143" s="27" t="str">
        <v/>
      </c>
      <c r="F1143" s="27" t="str">
        <v/>
      </c>
      <c r="G1143" s="27" t="str">
        <v/>
      </c>
      <c r="H1143" s="27" t="str">
        <v/>
      </c>
      <c r="I1143" s="27" t="str">
        <v/>
      </c>
    </row>
    <row r="1144" spans="1:9" x14ac:dyDescent="0.2">
      <c r="A1144" s="23" t="str">
        <v/>
      </c>
      <c r="B1144" s="25" t="str">
        <v/>
      </c>
      <c r="C1144" s="27" t="str">
        <v/>
      </c>
      <c r="D1144" s="27" t="str">
        <v/>
      </c>
      <c r="E1144" s="27" t="str">
        <v/>
      </c>
      <c r="F1144" s="27" t="str">
        <v/>
      </c>
      <c r="G1144" s="27" t="str">
        <v/>
      </c>
      <c r="H1144" s="27" t="str">
        <v/>
      </c>
      <c r="I1144" s="27" t="str">
        <v/>
      </c>
    </row>
    <row r="1145" spans="1:9" x14ac:dyDescent="0.2">
      <c r="A1145" s="23" t="str">
        <v/>
      </c>
      <c r="B1145" s="25" t="str">
        <v/>
      </c>
      <c r="C1145" s="27" t="str">
        <v/>
      </c>
      <c r="D1145" s="27" t="str">
        <v/>
      </c>
      <c r="E1145" s="27" t="str">
        <v/>
      </c>
      <c r="F1145" s="27" t="str">
        <v/>
      </c>
      <c r="G1145" s="27" t="str">
        <v/>
      </c>
      <c r="H1145" s="27" t="str">
        <v/>
      </c>
      <c r="I1145" s="27" t="str">
        <v/>
      </c>
    </row>
    <row r="1146" spans="1:9" x14ac:dyDescent="0.2">
      <c r="A1146" s="23" t="str">
        <v/>
      </c>
      <c r="B1146" s="25" t="str">
        <v/>
      </c>
      <c r="C1146" s="27" t="str">
        <v/>
      </c>
      <c r="D1146" s="27" t="str">
        <v/>
      </c>
      <c r="E1146" s="27" t="str">
        <v/>
      </c>
      <c r="F1146" s="27" t="str">
        <v/>
      </c>
      <c r="G1146" s="27" t="str">
        <v/>
      </c>
      <c r="H1146" s="27" t="str">
        <v/>
      </c>
      <c r="I1146" s="27" t="str">
        <v/>
      </c>
    </row>
    <row r="1147" spans="1:9" x14ac:dyDescent="0.2">
      <c r="A1147" s="23" t="str">
        <v/>
      </c>
      <c r="B1147" s="25" t="str">
        <v/>
      </c>
      <c r="C1147" s="27" t="str">
        <v/>
      </c>
      <c r="D1147" s="27" t="str">
        <v/>
      </c>
      <c r="E1147" s="27" t="str">
        <v/>
      </c>
      <c r="F1147" s="27" t="str">
        <v/>
      </c>
      <c r="G1147" s="27" t="str">
        <v/>
      </c>
      <c r="H1147" s="27" t="str">
        <v/>
      </c>
      <c r="I1147" s="27" t="str">
        <v/>
      </c>
    </row>
    <row r="1148" spans="1:9" x14ac:dyDescent="0.2">
      <c r="A1148" s="23" t="str">
        <v/>
      </c>
      <c r="B1148" s="25" t="str">
        <v/>
      </c>
      <c r="C1148" s="27" t="str">
        <v/>
      </c>
      <c r="D1148" s="27" t="str">
        <v/>
      </c>
      <c r="E1148" s="27" t="str">
        <v/>
      </c>
      <c r="F1148" s="27" t="str">
        <v/>
      </c>
      <c r="G1148" s="27" t="str">
        <v/>
      </c>
      <c r="H1148" s="27" t="str">
        <v/>
      </c>
      <c r="I1148" s="27" t="str">
        <v/>
      </c>
    </row>
    <row r="1149" spans="1:9" x14ac:dyDescent="0.2">
      <c r="A1149" s="23" t="str">
        <v/>
      </c>
      <c r="B1149" s="25" t="str">
        <v/>
      </c>
      <c r="C1149" s="27" t="str">
        <v/>
      </c>
      <c r="D1149" s="27" t="str">
        <v/>
      </c>
      <c r="E1149" s="27" t="str">
        <v/>
      </c>
      <c r="F1149" s="27" t="str">
        <v/>
      </c>
      <c r="G1149" s="27" t="str">
        <v/>
      </c>
      <c r="H1149" s="27" t="str">
        <v/>
      </c>
      <c r="I1149" s="27" t="str">
        <v/>
      </c>
    </row>
    <row r="1150" spans="1:9" x14ac:dyDescent="0.2">
      <c r="A1150" s="23" t="str">
        <v/>
      </c>
      <c r="B1150" s="25" t="str">
        <v/>
      </c>
      <c r="C1150" s="27" t="str">
        <v/>
      </c>
      <c r="D1150" s="27" t="str">
        <v/>
      </c>
      <c r="E1150" s="27" t="str">
        <v/>
      </c>
      <c r="F1150" s="27" t="str">
        <v/>
      </c>
      <c r="G1150" s="27" t="str">
        <v/>
      </c>
      <c r="H1150" s="27" t="str">
        <v/>
      </c>
      <c r="I1150" s="27" t="str">
        <v/>
      </c>
    </row>
    <row r="1151" spans="1:9" x14ac:dyDescent="0.2">
      <c r="A1151" s="23" t="str">
        <v/>
      </c>
      <c r="B1151" s="25" t="str">
        <v/>
      </c>
      <c r="C1151" s="27" t="str">
        <v/>
      </c>
      <c r="D1151" s="27" t="str">
        <v/>
      </c>
      <c r="E1151" s="27" t="str">
        <v/>
      </c>
      <c r="F1151" s="27" t="str">
        <v/>
      </c>
      <c r="G1151" s="27" t="str">
        <v/>
      </c>
      <c r="H1151" s="27" t="str">
        <v/>
      </c>
      <c r="I1151" s="27" t="str">
        <v/>
      </c>
    </row>
    <row r="1152" spans="1:9" x14ac:dyDescent="0.2">
      <c r="A1152" s="23" t="str">
        <v/>
      </c>
      <c r="B1152" s="25" t="str">
        <v/>
      </c>
      <c r="C1152" s="27" t="str">
        <v/>
      </c>
      <c r="D1152" s="27" t="str">
        <v/>
      </c>
      <c r="E1152" s="27" t="str">
        <v/>
      </c>
      <c r="F1152" s="27" t="str">
        <v/>
      </c>
      <c r="G1152" s="27" t="str">
        <v/>
      </c>
      <c r="H1152" s="27" t="str">
        <v/>
      </c>
      <c r="I1152" s="27" t="str">
        <v/>
      </c>
    </row>
    <row r="1153" spans="1:9" x14ac:dyDescent="0.2">
      <c r="A1153" s="23" t="str">
        <v/>
      </c>
      <c r="B1153" s="25" t="str">
        <v/>
      </c>
      <c r="C1153" s="27" t="str">
        <v/>
      </c>
      <c r="D1153" s="27" t="str">
        <v/>
      </c>
      <c r="E1153" s="27" t="str">
        <v/>
      </c>
      <c r="F1153" s="27" t="str">
        <v/>
      </c>
      <c r="G1153" s="27" t="str">
        <v/>
      </c>
      <c r="H1153" s="27" t="str">
        <v/>
      </c>
      <c r="I1153" s="27" t="str">
        <v/>
      </c>
    </row>
    <row r="1154" spans="1:9" x14ac:dyDescent="0.2">
      <c r="A1154" s="23" t="str">
        <v/>
      </c>
      <c r="B1154" s="25" t="str">
        <v/>
      </c>
      <c r="C1154" s="27" t="str">
        <v/>
      </c>
      <c r="D1154" s="27" t="str">
        <v/>
      </c>
      <c r="E1154" s="27" t="str">
        <v/>
      </c>
      <c r="F1154" s="27" t="str">
        <v/>
      </c>
      <c r="G1154" s="27" t="str">
        <v/>
      </c>
      <c r="H1154" s="27" t="str">
        <v/>
      </c>
      <c r="I1154" s="27" t="str">
        <v/>
      </c>
    </row>
    <row r="1155" spans="1:9" x14ac:dyDescent="0.2">
      <c r="A1155" s="23" t="str">
        <v/>
      </c>
      <c r="B1155" s="25" t="str">
        <v/>
      </c>
      <c r="C1155" s="27" t="str">
        <v/>
      </c>
      <c r="D1155" s="27" t="str">
        <v/>
      </c>
      <c r="E1155" s="27" t="str">
        <v/>
      </c>
      <c r="F1155" s="27" t="str">
        <v/>
      </c>
      <c r="G1155" s="27" t="str">
        <v/>
      </c>
      <c r="H1155" s="27" t="str">
        <v/>
      </c>
      <c r="I1155" s="27" t="str">
        <v/>
      </c>
    </row>
    <row r="1156" spans="1:9" x14ac:dyDescent="0.2">
      <c r="A1156" s="23" t="str">
        <v/>
      </c>
      <c r="B1156" s="25" t="str">
        <v/>
      </c>
      <c r="C1156" s="27" t="str">
        <v/>
      </c>
      <c r="D1156" s="27" t="str">
        <v/>
      </c>
      <c r="E1156" s="27" t="str">
        <v/>
      </c>
      <c r="F1156" s="27" t="str">
        <v/>
      </c>
      <c r="G1156" s="27" t="str">
        <v/>
      </c>
      <c r="H1156" s="27" t="str">
        <v/>
      </c>
      <c r="I1156" s="27" t="str">
        <v/>
      </c>
    </row>
    <row r="1157" spans="1:9" x14ac:dyDescent="0.2">
      <c r="A1157" s="23" t="str">
        <v/>
      </c>
      <c r="B1157" s="25" t="str">
        <v/>
      </c>
      <c r="C1157" s="27" t="str">
        <v/>
      </c>
      <c r="D1157" s="27" t="str">
        <v/>
      </c>
      <c r="E1157" s="27" t="str">
        <v/>
      </c>
      <c r="F1157" s="27" t="str">
        <v/>
      </c>
      <c r="G1157" s="27" t="str">
        <v/>
      </c>
      <c r="H1157" s="27" t="str">
        <v/>
      </c>
      <c r="I1157" s="27" t="str">
        <v/>
      </c>
    </row>
    <row r="1158" spans="1:9" x14ac:dyDescent="0.2">
      <c r="A1158" s="23" t="str">
        <v/>
      </c>
      <c r="B1158" s="25" t="str">
        <v/>
      </c>
      <c r="C1158" s="27" t="str">
        <v/>
      </c>
      <c r="D1158" s="27" t="str">
        <v/>
      </c>
      <c r="E1158" s="27" t="str">
        <v/>
      </c>
      <c r="F1158" s="27" t="str">
        <v/>
      </c>
      <c r="G1158" s="27" t="str">
        <v/>
      </c>
      <c r="H1158" s="27" t="str">
        <v/>
      </c>
      <c r="I1158" s="27" t="str">
        <v/>
      </c>
    </row>
    <row r="1159" spans="1:9" x14ac:dyDescent="0.2">
      <c r="A1159" s="23" t="str">
        <v/>
      </c>
      <c r="B1159" s="25" t="str">
        <v/>
      </c>
      <c r="C1159" s="27" t="str">
        <v/>
      </c>
      <c r="D1159" s="27" t="str">
        <v/>
      </c>
      <c r="E1159" s="27" t="str">
        <v/>
      </c>
      <c r="F1159" s="27" t="str">
        <v/>
      </c>
      <c r="G1159" s="27" t="str">
        <v/>
      </c>
      <c r="H1159" s="27" t="str">
        <v/>
      </c>
      <c r="I1159" s="27" t="str">
        <v/>
      </c>
    </row>
    <row r="1160" spans="1:9" x14ac:dyDescent="0.2">
      <c r="A1160" s="23" t="str">
        <v/>
      </c>
      <c r="B1160" s="25" t="str">
        <v/>
      </c>
      <c r="C1160" s="27" t="str">
        <v/>
      </c>
      <c r="D1160" s="27" t="str">
        <v/>
      </c>
      <c r="E1160" s="27" t="str">
        <v/>
      </c>
      <c r="F1160" s="27" t="str">
        <v/>
      </c>
      <c r="G1160" s="27" t="str">
        <v/>
      </c>
      <c r="H1160" s="27" t="str">
        <v/>
      </c>
      <c r="I1160" s="27" t="str">
        <v/>
      </c>
    </row>
    <row r="1161" spans="1:9" x14ac:dyDescent="0.2">
      <c r="A1161" s="23" t="str">
        <v/>
      </c>
      <c r="B1161" s="25" t="str">
        <v/>
      </c>
      <c r="C1161" s="27" t="str">
        <v/>
      </c>
      <c r="D1161" s="27" t="str">
        <v/>
      </c>
      <c r="E1161" s="27" t="str">
        <v/>
      </c>
      <c r="F1161" s="27" t="str">
        <v/>
      </c>
      <c r="G1161" s="27" t="str">
        <v/>
      </c>
      <c r="H1161" s="27" t="str">
        <v/>
      </c>
      <c r="I1161" s="27" t="str">
        <v/>
      </c>
    </row>
    <row r="1162" spans="1:9" x14ac:dyDescent="0.2">
      <c r="A1162" s="23" t="str">
        <v/>
      </c>
      <c r="B1162" s="25" t="str">
        <v/>
      </c>
      <c r="C1162" s="27" t="str">
        <v/>
      </c>
      <c r="D1162" s="27" t="str">
        <v/>
      </c>
      <c r="E1162" s="27" t="str">
        <v/>
      </c>
      <c r="F1162" s="27" t="str">
        <v/>
      </c>
      <c r="G1162" s="27" t="str">
        <v/>
      </c>
      <c r="H1162" s="27" t="str">
        <v/>
      </c>
      <c r="I1162" s="27" t="str">
        <v/>
      </c>
    </row>
    <row r="1163" spans="1:9" x14ac:dyDescent="0.2">
      <c r="A1163" s="23" t="str">
        <v/>
      </c>
      <c r="B1163" s="25" t="str">
        <v/>
      </c>
      <c r="C1163" s="27" t="str">
        <v/>
      </c>
      <c r="D1163" s="27" t="str">
        <v/>
      </c>
      <c r="E1163" s="27" t="str">
        <v/>
      </c>
      <c r="F1163" s="27" t="str">
        <v/>
      </c>
      <c r="G1163" s="27" t="str">
        <v/>
      </c>
      <c r="H1163" s="27" t="str">
        <v/>
      </c>
      <c r="I1163" s="27" t="str">
        <v/>
      </c>
    </row>
    <row r="1164" spans="1:9" x14ac:dyDescent="0.2">
      <c r="A1164" s="23" t="str">
        <v/>
      </c>
      <c r="B1164" s="25" t="str">
        <v/>
      </c>
      <c r="C1164" s="27" t="str">
        <v/>
      </c>
      <c r="D1164" s="27" t="str">
        <v/>
      </c>
      <c r="E1164" s="27" t="str">
        <v/>
      </c>
      <c r="F1164" s="27" t="str">
        <v/>
      </c>
      <c r="G1164" s="27" t="str">
        <v/>
      </c>
      <c r="H1164" s="27" t="str">
        <v/>
      </c>
      <c r="I1164" s="27" t="str">
        <v/>
      </c>
    </row>
    <row r="1165" spans="1:9" x14ac:dyDescent="0.2">
      <c r="A1165" s="23" t="str">
        <v/>
      </c>
      <c r="B1165" s="25" t="str">
        <v/>
      </c>
      <c r="C1165" s="27" t="str">
        <v/>
      </c>
      <c r="D1165" s="27" t="str">
        <v/>
      </c>
      <c r="E1165" s="27" t="str">
        <v/>
      </c>
      <c r="F1165" s="27" t="str">
        <v/>
      </c>
      <c r="G1165" s="27" t="str">
        <v/>
      </c>
      <c r="H1165" s="27" t="str">
        <v/>
      </c>
      <c r="I1165" s="27" t="str">
        <v/>
      </c>
    </row>
    <row r="1166" spans="1:9" x14ac:dyDescent="0.2">
      <c r="A1166" s="23" t="str">
        <v/>
      </c>
      <c r="B1166" s="25" t="str">
        <v/>
      </c>
      <c r="C1166" s="27" t="str">
        <v/>
      </c>
      <c r="D1166" s="27" t="str">
        <v/>
      </c>
      <c r="E1166" s="27" t="str">
        <v/>
      </c>
      <c r="F1166" s="27" t="str">
        <v/>
      </c>
      <c r="G1166" s="27" t="str">
        <v/>
      </c>
      <c r="H1166" s="27" t="str">
        <v/>
      </c>
      <c r="I1166" s="27" t="str">
        <v/>
      </c>
    </row>
    <row r="1167" spans="1:9" x14ac:dyDescent="0.2">
      <c r="A1167" s="23" t="str">
        <v/>
      </c>
      <c r="B1167" s="25" t="str">
        <v/>
      </c>
      <c r="C1167" s="27" t="str">
        <v/>
      </c>
      <c r="D1167" s="27" t="str">
        <v/>
      </c>
      <c r="E1167" s="27" t="str">
        <v/>
      </c>
      <c r="F1167" s="27" t="str">
        <v/>
      </c>
      <c r="G1167" s="27" t="str">
        <v/>
      </c>
      <c r="H1167" s="27" t="str">
        <v/>
      </c>
      <c r="I1167" s="27" t="str">
        <v/>
      </c>
    </row>
    <row r="1168" spans="1:9" x14ac:dyDescent="0.2">
      <c r="A1168" s="23" t="str">
        <v/>
      </c>
      <c r="B1168" s="25" t="str">
        <v/>
      </c>
      <c r="C1168" s="27" t="str">
        <v/>
      </c>
      <c r="D1168" s="27" t="str">
        <v/>
      </c>
      <c r="E1168" s="27" t="str">
        <v/>
      </c>
      <c r="F1168" s="27" t="str">
        <v/>
      </c>
      <c r="G1168" s="27" t="str">
        <v/>
      </c>
      <c r="H1168" s="27" t="str">
        <v/>
      </c>
      <c r="I1168" s="27" t="str">
        <v/>
      </c>
    </row>
    <row r="1169" spans="1:9" x14ac:dyDescent="0.2">
      <c r="A1169" s="23" t="str">
        <v/>
      </c>
      <c r="B1169" s="25" t="str">
        <v/>
      </c>
      <c r="C1169" s="27" t="str">
        <v/>
      </c>
      <c r="D1169" s="27" t="str">
        <v/>
      </c>
      <c r="E1169" s="27" t="str">
        <v/>
      </c>
      <c r="F1169" s="27" t="str">
        <v/>
      </c>
      <c r="G1169" s="27" t="str">
        <v/>
      </c>
      <c r="H1169" s="27" t="str">
        <v/>
      </c>
      <c r="I1169" s="27" t="str">
        <v/>
      </c>
    </row>
    <row r="1170" spans="1:9" x14ac:dyDescent="0.2">
      <c r="A1170" s="23" t="str">
        <v/>
      </c>
      <c r="B1170" s="25" t="str">
        <v/>
      </c>
      <c r="C1170" s="27" t="str">
        <v/>
      </c>
      <c r="D1170" s="27" t="str">
        <v/>
      </c>
      <c r="E1170" s="27" t="str">
        <v/>
      </c>
      <c r="F1170" s="27" t="str">
        <v/>
      </c>
      <c r="G1170" s="27" t="str">
        <v/>
      </c>
      <c r="H1170" s="27" t="str">
        <v/>
      </c>
      <c r="I1170" s="27" t="str">
        <v/>
      </c>
    </row>
    <row r="1171" spans="1:9" x14ac:dyDescent="0.2">
      <c r="A1171" s="23" t="str">
        <v/>
      </c>
      <c r="B1171" s="25" t="str">
        <v/>
      </c>
      <c r="C1171" s="27" t="str">
        <v/>
      </c>
      <c r="D1171" s="27" t="str">
        <v/>
      </c>
      <c r="E1171" s="27" t="str">
        <v/>
      </c>
      <c r="F1171" s="27" t="str">
        <v/>
      </c>
      <c r="G1171" s="27" t="str">
        <v/>
      </c>
      <c r="H1171" s="27" t="str">
        <v/>
      </c>
      <c r="I1171" s="27" t="str">
        <v/>
      </c>
    </row>
    <row r="1172" spans="1:9" x14ac:dyDescent="0.2">
      <c r="A1172" s="23" t="str">
        <v/>
      </c>
      <c r="B1172" s="25" t="str">
        <v/>
      </c>
      <c r="C1172" s="27" t="str">
        <v/>
      </c>
      <c r="D1172" s="27" t="str">
        <v/>
      </c>
      <c r="E1172" s="27" t="str">
        <v/>
      </c>
      <c r="F1172" s="27" t="str">
        <v/>
      </c>
      <c r="G1172" s="27" t="str">
        <v/>
      </c>
      <c r="H1172" s="27" t="str">
        <v/>
      </c>
      <c r="I1172" s="27" t="str">
        <v/>
      </c>
    </row>
    <row r="1173" spans="1:9" x14ac:dyDescent="0.2">
      <c r="A1173" s="23" t="str">
        <v/>
      </c>
      <c r="B1173" s="25" t="str">
        <v/>
      </c>
      <c r="C1173" s="27" t="str">
        <v/>
      </c>
      <c r="D1173" s="27" t="str">
        <v/>
      </c>
      <c r="E1173" s="27" t="str">
        <v/>
      </c>
      <c r="F1173" s="27" t="str">
        <v/>
      </c>
      <c r="G1173" s="27" t="str">
        <v/>
      </c>
      <c r="H1173" s="27" t="str">
        <v/>
      </c>
      <c r="I1173" s="27" t="str">
        <v/>
      </c>
    </row>
    <row r="1174" spans="1:9" x14ac:dyDescent="0.2">
      <c r="A1174" s="23" t="str">
        <v/>
      </c>
      <c r="B1174" s="25" t="str">
        <v/>
      </c>
      <c r="C1174" s="27" t="str">
        <v/>
      </c>
      <c r="D1174" s="27" t="str">
        <v/>
      </c>
      <c r="E1174" s="27" t="str">
        <v/>
      </c>
      <c r="F1174" s="27" t="str">
        <v/>
      </c>
      <c r="G1174" s="27" t="str">
        <v/>
      </c>
      <c r="H1174" s="27" t="str">
        <v/>
      </c>
      <c r="I1174" s="27" t="str">
        <v/>
      </c>
    </row>
    <row r="1175" spans="1:9" x14ac:dyDescent="0.2">
      <c r="A1175" s="23" t="str">
        <v/>
      </c>
      <c r="B1175" s="25" t="str">
        <v/>
      </c>
      <c r="C1175" s="27" t="str">
        <v/>
      </c>
      <c r="D1175" s="27" t="str">
        <v/>
      </c>
      <c r="E1175" s="27" t="str">
        <v/>
      </c>
      <c r="F1175" s="27" t="str">
        <v/>
      </c>
      <c r="G1175" s="27" t="str">
        <v/>
      </c>
      <c r="H1175" s="27" t="str">
        <v/>
      </c>
      <c r="I1175" s="27" t="str">
        <v/>
      </c>
    </row>
    <row r="1176" spans="1:9" x14ac:dyDescent="0.2">
      <c r="A1176" s="23" t="str">
        <v/>
      </c>
      <c r="B1176" s="25" t="str">
        <v/>
      </c>
      <c r="C1176" s="27" t="str">
        <v/>
      </c>
      <c r="D1176" s="27" t="str">
        <v/>
      </c>
      <c r="E1176" s="27" t="str">
        <v/>
      </c>
      <c r="F1176" s="27" t="str">
        <v/>
      </c>
      <c r="G1176" s="27" t="str">
        <v/>
      </c>
      <c r="H1176" s="27" t="str">
        <v/>
      </c>
      <c r="I1176" s="27" t="str">
        <v/>
      </c>
    </row>
    <row r="1177" spans="1:9" x14ac:dyDescent="0.2">
      <c r="A1177" s="23" t="str">
        <v/>
      </c>
      <c r="B1177" s="25" t="str">
        <v/>
      </c>
      <c r="C1177" s="27" t="str">
        <v/>
      </c>
      <c r="D1177" s="27" t="str">
        <v/>
      </c>
      <c r="E1177" s="27" t="str">
        <v/>
      </c>
      <c r="F1177" s="27" t="str">
        <v/>
      </c>
      <c r="G1177" s="27" t="str">
        <v/>
      </c>
      <c r="H1177" s="27" t="str">
        <v/>
      </c>
      <c r="I1177" s="27" t="str">
        <v/>
      </c>
    </row>
    <row r="1178" spans="1:9" x14ac:dyDescent="0.2">
      <c r="A1178" s="23" t="str">
        <v/>
      </c>
      <c r="B1178" s="25" t="str">
        <v/>
      </c>
      <c r="C1178" s="27" t="str">
        <v/>
      </c>
      <c r="D1178" s="27" t="str">
        <v/>
      </c>
      <c r="E1178" s="27" t="str">
        <v/>
      </c>
      <c r="F1178" s="27" t="str">
        <v/>
      </c>
      <c r="G1178" s="27" t="str">
        <v/>
      </c>
      <c r="H1178" s="27" t="str">
        <v/>
      </c>
      <c r="I1178" s="27" t="str">
        <v/>
      </c>
    </row>
    <row r="1179" spans="1:9" x14ac:dyDescent="0.2">
      <c r="A1179" s="23" t="str">
        <v/>
      </c>
      <c r="B1179" s="25" t="str">
        <v/>
      </c>
      <c r="C1179" s="27" t="str">
        <v/>
      </c>
      <c r="D1179" s="27" t="str">
        <v/>
      </c>
      <c r="E1179" s="27" t="str">
        <v/>
      </c>
      <c r="F1179" s="27" t="str">
        <v/>
      </c>
      <c r="G1179" s="27" t="str">
        <v/>
      </c>
      <c r="H1179" s="27" t="str">
        <v/>
      </c>
      <c r="I1179" s="27" t="str">
        <v/>
      </c>
    </row>
    <row r="1180" spans="1:9" x14ac:dyDescent="0.2">
      <c r="A1180" s="23" t="str">
        <v/>
      </c>
      <c r="B1180" s="25" t="str">
        <v/>
      </c>
      <c r="C1180" s="27" t="str">
        <v/>
      </c>
      <c r="D1180" s="27" t="str">
        <v/>
      </c>
      <c r="E1180" s="27" t="str">
        <v/>
      </c>
      <c r="F1180" s="27" t="str">
        <v/>
      </c>
      <c r="G1180" s="27" t="str">
        <v/>
      </c>
      <c r="H1180" s="27" t="str">
        <v/>
      </c>
      <c r="I1180" s="27" t="str">
        <v/>
      </c>
    </row>
    <row r="1181" spans="1:9" x14ac:dyDescent="0.2">
      <c r="A1181" s="23" t="str">
        <v/>
      </c>
      <c r="B1181" s="25" t="str">
        <v/>
      </c>
      <c r="C1181" s="27" t="str">
        <v/>
      </c>
      <c r="D1181" s="27" t="str">
        <v/>
      </c>
      <c r="E1181" s="27" t="str">
        <v/>
      </c>
      <c r="F1181" s="27" t="str">
        <v/>
      </c>
      <c r="G1181" s="27" t="str">
        <v/>
      </c>
      <c r="H1181" s="27" t="str">
        <v/>
      </c>
      <c r="I1181" s="27" t="str">
        <v/>
      </c>
    </row>
    <row r="1182" spans="1:9" x14ac:dyDescent="0.2">
      <c r="A1182" s="23" t="str">
        <v/>
      </c>
      <c r="B1182" s="25" t="str">
        <v/>
      </c>
      <c r="C1182" s="27" t="str">
        <v/>
      </c>
      <c r="D1182" s="27" t="str">
        <v/>
      </c>
      <c r="E1182" s="27" t="str">
        <v/>
      </c>
      <c r="F1182" s="27" t="str">
        <v/>
      </c>
      <c r="G1182" s="27" t="str">
        <v/>
      </c>
      <c r="H1182" s="27" t="str">
        <v/>
      </c>
      <c r="I1182" s="27" t="str">
        <v/>
      </c>
    </row>
    <row r="1183" spans="1:9" x14ac:dyDescent="0.2">
      <c r="A1183" s="23" t="str">
        <v/>
      </c>
      <c r="B1183" s="25" t="str">
        <v/>
      </c>
      <c r="C1183" s="27" t="str">
        <v/>
      </c>
      <c r="D1183" s="27" t="str">
        <v/>
      </c>
      <c r="E1183" s="27" t="str">
        <v/>
      </c>
      <c r="F1183" s="27" t="str">
        <v/>
      </c>
      <c r="G1183" s="27" t="str">
        <v/>
      </c>
      <c r="H1183" s="27" t="str">
        <v/>
      </c>
      <c r="I1183" s="27" t="str">
        <v/>
      </c>
    </row>
    <row r="1184" spans="1:9" x14ac:dyDescent="0.2">
      <c r="A1184" s="23" t="str">
        <v/>
      </c>
      <c r="B1184" s="25" t="str">
        <v/>
      </c>
      <c r="C1184" s="27" t="str">
        <v/>
      </c>
      <c r="D1184" s="27" t="str">
        <v/>
      </c>
      <c r="E1184" s="27" t="str">
        <v/>
      </c>
      <c r="F1184" s="27" t="str">
        <v/>
      </c>
      <c r="G1184" s="27" t="str">
        <v/>
      </c>
      <c r="H1184" s="27" t="str">
        <v/>
      </c>
      <c r="I1184" s="27" t="str">
        <v/>
      </c>
    </row>
    <row r="1185" spans="1:9" x14ac:dyDescent="0.2">
      <c r="A1185" s="23" t="str">
        <v/>
      </c>
      <c r="B1185" s="25" t="str">
        <v/>
      </c>
      <c r="C1185" s="27" t="str">
        <v/>
      </c>
      <c r="D1185" s="27" t="str">
        <v/>
      </c>
      <c r="E1185" s="27" t="str">
        <v/>
      </c>
      <c r="F1185" s="27" t="str">
        <v/>
      </c>
      <c r="G1185" s="27" t="str">
        <v/>
      </c>
      <c r="H1185" s="27" t="str">
        <v/>
      </c>
      <c r="I1185" s="27" t="str">
        <v/>
      </c>
    </row>
    <row r="1186" spans="1:9" x14ac:dyDescent="0.2">
      <c r="A1186" s="23" t="str">
        <v/>
      </c>
      <c r="B1186" s="25" t="str">
        <v/>
      </c>
      <c r="C1186" s="27" t="str">
        <v/>
      </c>
      <c r="D1186" s="27" t="str">
        <v/>
      </c>
      <c r="E1186" s="27" t="str">
        <v/>
      </c>
      <c r="F1186" s="27" t="str">
        <v/>
      </c>
      <c r="G1186" s="27" t="str">
        <v/>
      </c>
      <c r="H1186" s="27" t="str">
        <v/>
      </c>
      <c r="I1186" s="27" t="str">
        <v/>
      </c>
    </row>
    <row r="1187" spans="1:9" x14ac:dyDescent="0.2">
      <c r="A1187" s="23" t="str">
        <v/>
      </c>
      <c r="B1187" s="25" t="str">
        <v/>
      </c>
      <c r="C1187" s="27" t="str">
        <v/>
      </c>
      <c r="D1187" s="27" t="str">
        <v/>
      </c>
      <c r="E1187" s="27" t="str">
        <v/>
      </c>
      <c r="F1187" s="27" t="str">
        <v/>
      </c>
      <c r="G1187" s="27" t="str">
        <v/>
      </c>
      <c r="H1187" s="27" t="str">
        <v/>
      </c>
      <c r="I1187" s="27" t="str">
        <v/>
      </c>
    </row>
    <row r="1188" spans="1:9" x14ac:dyDescent="0.2">
      <c r="A1188" s="23" t="str">
        <v/>
      </c>
      <c r="B1188" s="25" t="str">
        <v/>
      </c>
      <c r="C1188" s="27" t="str">
        <v/>
      </c>
      <c r="D1188" s="27" t="str">
        <v/>
      </c>
      <c r="E1188" s="27" t="str">
        <v/>
      </c>
      <c r="F1188" s="27" t="str">
        <v/>
      </c>
      <c r="G1188" s="27" t="str">
        <v/>
      </c>
      <c r="H1188" s="27" t="str">
        <v/>
      </c>
      <c r="I1188" s="27" t="str">
        <v/>
      </c>
    </row>
    <row r="1189" spans="1:9" x14ac:dyDescent="0.2">
      <c r="A1189" s="23" t="str">
        <v/>
      </c>
      <c r="B1189" s="25" t="str">
        <v/>
      </c>
      <c r="C1189" s="27" t="str">
        <v/>
      </c>
      <c r="D1189" s="27" t="str">
        <v/>
      </c>
      <c r="E1189" s="27" t="str">
        <v/>
      </c>
      <c r="F1189" s="27" t="str">
        <v/>
      </c>
      <c r="G1189" s="27" t="str">
        <v/>
      </c>
      <c r="H1189" s="27" t="str">
        <v/>
      </c>
      <c r="I1189" s="27" t="str">
        <v/>
      </c>
    </row>
    <row r="1190" spans="1:9" x14ac:dyDescent="0.2">
      <c r="A1190" s="23" t="str">
        <v/>
      </c>
      <c r="B1190" s="25" t="str">
        <v/>
      </c>
      <c r="C1190" s="27" t="str">
        <v/>
      </c>
      <c r="D1190" s="27" t="str">
        <v/>
      </c>
      <c r="E1190" s="27" t="str">
        <v/>
      </c>
      <c r="F1190" s="27" t="str">
        <v/>
      </c>
      <c r="G1190" s="27" t="str">
        <v/>
      </c>
      <c r="H1190" s="27" t="str">
        <v/>
      </c>
      <c r="I1190" s="27" t="str">
        <v/>
      </c>
    </row>
    <row r="1191" spans="1:9" x14ac:dyDescent="0.2">
      <c r="A1191" s="23" t="str">
        <v/>
      </c>
      <c r="B1191" s="25" t="str">
        <v/>
      </c>
      <c r="C1191" s="27" t="str">
        <v/>
      </c>
      <c r="D1191" s="27" t="str">
        <v/>
      </c>
      <c r="E1191" s="27" t="str">
        <v/>
      </c>
      <c r="F1191" s="27" t="str">
        <v/>
      </c>
      <c r="G1191" s="27" t="str">
        <v/>
      </c>
      <c r="H1191" s="27" t="str">
        <v/>
      </c>
      <c r="I1191" s="27" t="str">
        <v/>
      </c>
    </row>
    <row r="1192" spans="1:9" x14ac:dyDescent="0.2">
      <c r="A1192" s="23" t="str">
        <v/>
      </c>
      <c r="B1192" s="25" t="str">
        <v/>
      </c>
      <c r="C1192" s="27" t="str">
        <v/>
      </c>
      <c r="D1192" s="27" t="str">
        <v/>
      </c>
      <c r="E1192" s="27" t="str">
        <v/>
      </c>
      <c r="F1192" s="27" t="str">
        <v/>
      </c>
      <c r="G1192" s="27" t="str">
        <v/>
      </c>
      <c r="H1192" s="27" t="str">
        <v/>
      </c>
      <c r="I1192" s="27" t="str">
        <v/>
      </c>
    </row>
    <row r="1193" spans="1:9" x14ac:dyDescent="0.2">
      <c r="A1193" s="23" t="str">
        <v/>
      </c>
      <c r="B1193" s="25" t="str">
        <v/>
      </c>
      <c r="C1193" s="27" t="str">
        <v/>
      </c>
      <c r="D1193" s="27" t="str">
        <v/>
      </c>
      <c r="E1193" s="27" t="str">
        <v/>
      </c>
      <c r="F1193" s="27" t="str">
        <v/>
      </c>
      <c r="G1193" s="27" t="str">
        <v/>
      </c>
      <c r="H1193" s="27" t="str">
        <v/>
      </c>
      <c r="I1193" s="27" t="str">
        <v/>
      </c>
    </row>
    <row r="1194" spans="1:9" x14ac:dyDescent="0.2">
      <c r="A1194" s="23" t="str">
        <v/>
      </c>
      <c r="B1194" s="25" t="str">
        <v/>
      </c>
      <c r="C1194" s="27" t="str">
        <v/>
      </c>
      <c r="D1194" s="27" t="str">
        <v/>
      </c>
      <c r="E1194" s="27" t="str">
        <v/>
      </c>
      <c r="F1194" s="27" t="str">
        <v/>
      </c>
      <c r="G1194" s="27" t="str">
        <v/>
      </c>
      <c r="H1194" s="27" t="str">
        <v/>
      </c>
      <c r="I1194" s="27" t="str">
        <v/>
      </c>
    </row>
    <row r="1195" spans="1:9" x14ac:dyDescent="0.2">
      <c r="A1195" s="23" t="str">
        <v/>
      </c>
      <c r="B1195" s="25" t="str">
        <v/>
      </c>
      <c r="C1195" s="27" t="str">
        <v/>
      </c>
      <c r="D1195" s="27" t="str">
        <v/>
      </c>
      <c r="E1195" s="27" t="str">
        <v/>
      </c>
      <c r="F1195" s="27" t="str">
        <v/>
      </c>
      <c r="G1195" s="27" t="str">
        <v/>
      </c>
      <c r="H1195" s="27" t="str">
        <v/>
      </c>
      <c r="I1195" s="27" t="str">
        <v/>
      </c>
    </row>
    <row r="1196" spans="1:9" x14ac:dyDescent="0.2">
      <c r="A1196" s="23" t="str">
        <v/>
      </c>
      <c r="B1196" s="25" t="str">
        <v/>
      </c>
      <c r="C1196" s="27" t="str">
        <v/>
      </c>
      <c r="D1196" s="27" t="str">
        <v/>
      </c>
      <c r="E1196" s="27" t="str">
        <v/>
      </c>
      <c r="F1196" s="27" t="str">
        <v/>
      </c>
      <c r="G1196" s="27" t="str">
        <v/>
      </c>
      <c r="H1196" s="27" t="str">
        <v/>
      </c>
      <c r="I1196" s="27" t="str">
        <v/>
      </c>
    </row>
    <row r="1197" spans="1:9" x14ac:dyDescent="0.2">
      <c r="A1197" s="23" t="str">
        <v/>
      </c>
      <c r="B1197" s="25" t="str">
        <v/>
      </c>
      <c r="C1197" s="27" t="str">
        <v/>
      </c>
      <c r="D1197" s="27" t="str">
        <v/>
      </c>
      <c r="E1197" s="27" t="str">
        <v/>
      </c>
      <c r="F1197" s="27" t="str">
        <v/>
      </c>
      <c r="G1197" s="27" t="str">
        <v/>
      </c>
      <c r="H1197" s="27" t="str">
        <v/>
      </c>
      <c r="I1197" s="27" t="str">
        <v/>
      </c>
    </row>
    <row r="1198" spans="1:9" x14ac:dyDescent="0.2">
      <c r="A1198" s="23" t="str">
        <v/>
      </c>
      <c r="B1198" s="25" t="str">
        <v/>
      </c>
      <c r="C1198" s="27" t="str">
        <v/>
      </c>
      <c r="D1198" s="27" t="str">
        <v/>
      </c>
      <c r="E1198" s="27" t="str">
        <v/>
      </c>
      <c r="F1198" s="27" t="str">
        <v/>
      </c>
      <c r="G1198" s="27" t="str">
        <v/>
      </c>
      <c r="H1198" s="27" t="str">
        <v/>
      </c>
      <c r="I1198" s="27" t="str">
        <v/>
      </c>
    </row>
    <row r="1199" spans="1:9" x14ac:dyDescent="0.2">
      <c r="A1199" s="23" t="str">
        <v/>
      </c>
      <c r="B1199" s="25" t="str">
        <v/>
      </c>
      <c r="C1199" s="27" t="str">
        <v/>
      </c>
      <c r="D1199" s="27" t="str">
        <v/>
      </c>
      <c r="E1199" s="27" t="str">
        <v/>
      </c>
      <c r="F1199" s="27" t="str">
        <v/>
      </c>
      <c r="G1199" s="27" t="str">
        <v/>
      </c>
      <c r="H1199" s="27" t="str">
        <v/>
      </c>
      <c r="I1199" s="27" t="str">
        <v/>
      </c>
    </row>
    <row r="1200" spans="1:9" x14ac:dyDescent="0.2">
      <c r="A1200" s="23" t="str">
        <v/>
      </c>
      <c r="B1200" s="25" t="str">
        <v/>
      </c>
      <c r="C1200" s="27" t="str">
        <v/>
      </c>
      <c r="D1200" s="27" t="str">
        <v/>
      </c>
      <c r="E1200" s="27" t="str">
        <v/>
      </c>
      <c r="F1200" s="27" t="str">
        <v/>
      </c>
      <c r="G1200" s="27" t="str">
        <v/>
      </c>
      <c r="H1200" s="27" t="str">
        <v/>
      </c>
      <c r="I1200" s="27" t="str">
        <v/>
      </c>
    </row>
    <row r="1201" spans="1:9" x14ac:dyDescent="0.2">
      <c r="A1201" s="23" t="str">
        <v/>
      </c>
      <c r="B1201" s="25" t="str">
        <v/>
      </c>
      <c r="C1201" s="27" t="str">
        <v/>
      </c>
      <c r="D1201" s="27" t="str">
        <v/>
      </c>
      <c r="E1201" s="27" t="str">
        <v/>
      </c>
      <c r="F1201" s="27" t="str">
        <v/>
      </c>
      <c r="G1201" s="27" t="str">
        <v/>
      </c>
      <c r="H1201" s="27" t="str">
        <v/>
      </c>
      <c r="I1201" s="27" t="str">
        <v/>
      </c>
    </row>
    <row r="1202" spans="1:9" x14ac:dyDescent="0.2">
      <c r="A1202" s="23" t="str">
        <v/>
      </c>
      <c r="B1202" s="25" t="str">
        <v/>
      </c>
      <c r="C1202" s="27" t="str">
        <v/>
      </c>
      <c r="D1202" s="27" t="str">
        <v/>
      </c>
      <c r="E1202" s="27" t="str">
        <v/>
      </c>
      <c r="F1202" s="27" t="str">
        <v/>
      </c>
      <c r="G1202" s="27" t="str">
        <v/>
      </c>
      <c r="H1202" s="27" t="str">
        <v/>
      </c>
      <c r="I1202" s="27" t="str">
        <v/>
      </c>
    </row>
    <row r="1203" spans="1:9" x14ac:dyDescent="0.2">
      <c r="A1203" s="23" t="str">
        <v/>
      </c>
      <c r="B1203" s="25" t="str">
        <v/>
      </c>
      <c r="C1203" s="27" t="str">
        <v/>
      </c>
      <c r="D1203" s="27" t="str">
        <v/>
      </c>
      <c r="E1203" s="27" t="str">
        <v/>
      </c>
      <c r="F1203" s="27" t="str">
        <v/>
      </c>
      <c r="G1203" s="27" t="str">
        <v/>
      </c>
      <c r="H1203" s="27" t="str">
        <v/>
      </c>
      <c r="I1203" s="27" t="str">
        <v/>
      </c>
    </row>
    <row r="1204" spans="1:9" x14ac:dyDescent="0.2">
      <c r="A1204" s="23" t="str">
        <v/>
      </c>
      <c r="B1204" s="25" t="str">
        <v/>
      </c>
      <c r="C1204" s="27" t="str">
        <v/>
      </c>
      <c r="D1204" s="27" t="str">
        <v/>
      </c>
      <c r="E1204" s="27" t="str">
        <v/>
      </c>
      <c r="F1204" s="27" t="str">
        <v/>
      </c>
      <c r="G1204" s="27" t="str">
        <v/>
      </c>
      <c r="H1204" s="27" t="str">
        <v/>
      </c>
      <c r="I1204" s="27" t="str">
        <v/>
      </c>
    </row>
    <row r="1205" spans="1:9" x14ac:dyDescent="0.2">
      <c r="A1205" s="23" t="str">
        <v/>
      </c>
      <c r="B1205" s="25" t="str">
        <v/>
      </c>
      <c r="C1205" s="27" t="str">
        <v/>
      </c>
      <c r="D1205" s="27" t="str">
        <v/>
      </c>
      <c r="E1205" s="27" t="str">
        <v/>
      </c>
      <c r="F1205" s="27" t="str">
        <v/>
      </c>
      <c r="G1205" s="27" t="str">
        <v/>
      </c>
      <c r="H1205" s="27" t="str">
        <v/>
      </c>
      <c r="I1205" s="27" t="str">
        <v/>
      </c>
    </row>
    <row r="1206" spans="1:9" x14ac:dyDescent="0.2">
      <c r="A1206" s="23" t="str">
        <v/>
      </c>
      <c r="B1206" s="25" t="str">
        <v/>
      </c>
      <c r="C1206" s="27" t="str">
        <v/>
      </c>
      <c r="D1206" s="27" t="str">
        <v/>
      </c>
      <c r="E1206" s="27" t="str">
        <v/>
      </c>
      <c r="F1206" s="27" t="str">
        <v/>
      </c>
      <c r="G1206" s="27" t="str">
        <v/>
      </c>
      <c r="H1206" s="27" t="str">
        <v/>
      </c>
      <c r="I1206" s="27" t="str">
        <v/>
      </c>
    </row>
    <row r="1207" spans="1:9" x14ac:dyDescent="0.2">
      <c r="A1207" s="23" t="str">
        <v/>
      </c>
      <c r="B1207" s="25" t="str">
        <v/>
      </c>
      <c r="C1207" s="27" t="str">
        <v/>
      </c>
      <c r="D1207" s="27" t="str">
        <v/>
      </c>
      <c r="E1207" s="27" t="str">
        <v/>
      </c>
      <c r="F1207" s="27" t="str">
        <v/>
      </c>
      <c r="G1207" s="27" t="str">
        <v/>
      </c>
      <c r="H1207" s="27" t="str">
        <v/>
      </c>
      <c r="I1207" s="27" t="str">
        <v/>
      </c>
    </row>
    <row r="1208" spans="1:9" x14ac:dyDescent="0.2">
      <c r="A1208" s="23" t="str">
        <v/>
      </c>
      <c r="B1208" s="25" t="str">
        <v/>
      </c>
      <c r="C1208" s="27" t="str">
        <v/>
      </c>
      <c r="D1208" s="27" t="str">
        <v/>
      </c>
      <c r="E1208" s="27" t="str">
        <v/>
      </c>
      <c r="F1208" s="27" t="str">
        <v/>
      </c>
      <c r="G1208" s="27" t="str">
        <v/>
      </c>
      <c r="H1208" s="27" t="str">
        <v/>
      </c>
      <c r="I1208" s="27" t="str">
        <v/>
      </c>
    </row>
    <row r="1209" spans="1:9" x14ac:dyDescent="0.2">
      <c r="A1209" s="23" t="str">
        <v/>
      </c>
      <c r="B1209" s="25" t="str">
        <v/>
      </c>
      <c r="C1209" s="27" t="str">
        <v/>
      </c>
      <c r="D1209" s="27" t="str">
        <v/>
      </c>
      <c r="E1209" s="27" t="str">
        <v/>
      </c>
      <c r="F1209" s="27" t="str">
        <v/>
      </c>
      <c r="G1209" s="27" t="str">
        <v/>
      </c>
      <c r="H1209" s="27" t="str">
        <v/>
      </c>
      <c r="I1209" s="27" t="str">
        <v/>
      </c>
    </row>
    <row r="1210" spans="1:9" x14ac:dyDescent="0.2">
      <c r="A1210" s="23" t="str">
        <v/>
      </c>
      <c r="B1210" s="25" t="str">
        <v/>
      </c>
      <c r="C1210" s="27" t="str">
        <v/>
      </c>
      <c r="D1210" s="27" t="str">
        <v/>
      </c>
      <c r="E1210" s="27" t="str">
        <v/>
      </c>
      <c r="F1210" s="27" t="str">
        <v/>
      </c>
      <c r="G1210" s="27" t="str">
        <v/>
      </c>
      <c r="H1210" s="27" t="str">
        <v/>
      </c>
      <c r="I1210" s="27" t="str">
        <v/>
      </c>
    </row>
    <row r="1211" spans="1:9" x14ac:dyDescent="0.2">
      <c r="A1211" s="23" t="str">
        <v/>
      </c>
      <c r="B1211" s="25" t="str">
        <v/>
      </c>
      <c r="C1211" s="27" t="str">
        <v/>
      </c>
      <c r="D1211" s="27" t="str">
        <v/>
      </c>
      <c r="E1211" s="27" t="str">
        <v/>
      </c>
      <c r="F1211" s="27" t="str">
        <v/>
      </c>
      <c r="G1211" s="27" t="str">
        <v/>
      </c>
      <c r="H1211" s="27" t="str">
        <v/>
      </c>
      <c r="I1211" s="27" t="str">
        <v/>
      </c>
    </row>
    <row r="1212" spans="1:9" x14ac:dyDescent="0.2">
      <c r="A1212" s="23" t="str">
        <v/>
      </c>
      <c r="B1212" s="25" t="str">
        <v/>
      </c>
      <c r="C1212" s="27" t="str">
        <v/>
      </c>
      <c r="D1212" s="27" t="str">
        <v/>
      </c>
      <c r="E1212" s="27" t="str">
        <v/>
      </c>
      <c r="F1212" s="27" t="str">
        <v/>
      </c>
      <c r="G1212" s="27" t="str">
        <v/>
      </c>
      <c r="H1212" s="27" t="str">
        <v/>
      </c>
      <c r="I1212" s="27" t="str">
        <v/>
      </c>
    </row>
    <row r="1213" spans="1:9" x14ac:dyDescent="0.2">
      <c r="A1213" s="23" t="str">
        <v/>
      </c>
      <c r="B1213" s="25" t="str">
        <v/>
      </c>
      <c r="C1213" s="27" t="str">
        <v/>
      </c>
      <c r="D1213" s="27" t="str">
        <v/>
      </c>
      <c r="E1213" s="27" t="str">
        <v/>
      </c>
      <c r="F1213" s="27" t="str">
        <v/>
      </c>
      <c r="G1213" s="27" t="str">
        <v/>
      </c>
      <c r="H1213" s="27" t="str">
        <v/>
      </c>
      <c r="I1213" s="27" t="str">
        <v/>
      </c>
    </row>
    <row r="1214" spans="1:9" x14ac:dyDescent="0.2">
      <c r="A1214" s="23" t="str">
        <v/>
      </c>
      <c r="B1214" s="25" t="str">
        <v/>
      </c>
      <c r="C1214" s="27" t="str">
        <v/>
      </c>
      <c r="D1214" s="27" t="str">
        <v/>
      </c>
      <c r="E1214" s="27" t="str">
        <v/>
      </c>
      <c r="F1214" s="27" t="str">
        <v/>
      </c>
      <c r="G1214" s="27" t="str">
        <v/>
      </c>
      <c r="H1214" s="27" t="str">
        <v/>
      </c>
      <c r="I1214" s="27" t="str">
        <v/>
      </c>
    </row>
    <row r="1215" spans="1:9" x14ac:dyDescent="0.2">
      <c r="A1215" s="23" t="str">
        <v/>
      </c>
      <c r="B1215" s="25" t="str">
        <v/>
      </c>
      <c r="C1215" s="27" t="str">
        <v/>
      </c>
      <c r="D1215" s="27" t="str">
        <v/>
      </c>
      <c r="E1215" s="27" t="str">
        <v/>
      </c>
      <c r="F1215" s="27" t="str">
        <v/>
      </c>
      <c r="G1215" s="27" t="str">
        <v/>
      </c>
      <c r="H1215" s="27" t="str">
        <v/>
      </c>
      <c r="I1215" s="27" t="str">
        <v/>
      </c>
    </row>
    <row r="1216" spans="1:9" x14ac:dyDescent="0.2">
      <c r="A1216" s="23" t="str">
        <v/>
      </c>
      <c r="B1216" s="25" t="str">
        <v/>
      </c>
      <c r="C1216" s="27" t="str">
        <v/>
      </c>
      <c r="D1216" s="27" t="str">
        <v/>
      </c>
      <c r="E1216" s="27" t="str">
        <v/>
      </c>
      <c r="F1216" s="27" t="str">
        <v/>
      </c>
      <c r="G1216" s="27" t="str">
        <v/>
      </c>
      <c r="H1216" s="27" t="str">
        <v/>
      </c>
      <c r="I1216" s="27" t="str">
        <v/>
      </c>
    </row>
    <row r="1217" spans="1:9" x14ac:dyDescent="0.2">
      <c r="A1217" s="23" t="str">
        <v/>
      </c>
      <c r="B1217" s="25" t="str">
        <v/>
      </c>
      <c r="C1217" s="27" t="str">
        <v/>
      </c>
      <c r="D1217" s="27" t="str">
        <v/>
      </c>
      <c r="E1217" s="27" t="str">
        <v/>
      </c>
      <c r="F1217" s="27" t="str">
        <v/>
      </c>
      <c r="G1217" s="27" t="str">
        <v/>
      </c>
      <c r="H1217" s="27" t="str">
        <v/>
      </c>
      <c r="I1217" s="27" t="str">
        <v/>
      </c>
    </row>
    <row r="1218" spans="1:9" x14ac:dyDescent="0.2">
      <c r="A1218" s="23" t="str">
        <v/>
      </c>
      <c r="B1218" s="25" t="str">
        <v/>
      </c>
      <c r="C1218" s="27" t="str">
        <v/>
      </c>
      <c r="D1218" s="27" t="str">
        <v/>
      </c>
      <c r="E1218" s="27" t="str">
        <v/>
      </c>
      <c r="F1218" s="27" t="str">
        <v/>
      </c>
      <c r="G1218" s="27" t="str">
        <v/>
      </c>
      <c r="H1218" s="27" t="str">
        <v/>
      </c>
      <c r="I1218" s="27" t="str">
        <v/>
      </c>
    </row>
    <row r="1219" spans="1:9" x14ac:dyDescent="0.2">
      <c r="A1219" s="23" t="str">
        <v/>
      </c>
      <c r="B1219" s="25" t="str">
        <v/>
      </c>
      <c r="C1219" s="27" t="str">
        <v/>
      </c>
      <c r="D1219" s="27" t="str">
        <v/>
      </c>
      <c r="E1219" s="27" t="str">
        <v/>
      </c>
      <c r="F1219" s="27" t="str">
        <v/>
      </c>
      <c r="G1219" s="27" t="str">
        <v/>
      </c>
      <c r="H1219" s="27" t="str">
        <v/>
      </c>
      <c r="I1219" s="27" t="str">
        <v/>
      </c>
    </row>
    <row r="1220" spans="1:9" x14ac:dyDescent="0.2">
      <c r="A1220" s="23" t="str">
        <v/>
      </c>
      <c r="B1220" s="25" t="str">
        <v/>
      </c>
      <c r="C1220" s="27" t="str">
        <v/>
      </c>
      <c r="D1220" s="27" t="str">
        <v/>
      </c>
      <c r="E1220" s="27" t="str">
        <v/>
      </c>
      <c r="F1220" s="27" t="str">
        <v/>
      </c>
      <c r="G1220" s="27" t="str">
        <v/>
      </c>
      <c r="H1220" s="27" t="str">
        <v/>
      </c>
      <c r="I1220" s="27" t="str">
        <v/>
      </c>
    </row>
    <row r="1221" spans="1:9" x14ac:dyDescent="0.2">
      <c r="A1221" s="23" t="str">
        <v/>
      </c>
      <c r="B1221" s="25" t="str">
        <v/>
      </c>
      <c r="C1221" s="27" t="str">
        <v/>
      </c>
      <c r="D1221" s="27" t="str">
        <v/>
      </c>
      <c r="E1221" s="27" t="str">
        <v/>
      </c>
      <c r="F1221" s="27" t="str">
        <v/>
      </c>
      <c r="G1221" s="27" t="str">
        <v/>
      </c>
      <c r="H1221" s="27" t="str">
        <v/>
      </c>
      <c r="I1221" s="27" t="str">
        <v/>
      </c>
    </row>
    <row r="1222" spans="1:9" x14ac:dyDescent="0.2">
      <c r="A1222" s="23" t="str">
        <v/>
      </c>
      <c r="B1222" s="25" t="str">
        <v/>
      </c>
      <c r="C1222" s="27" t="str">
        <v/>
      </c>
      <c r="D1222" s="27" t="str">
        <v/>
      </c>
      <c r="E1222" s="27" t="str">
        <v/>
      </c>
      <c r="F1222" s="27" t="str">
        <v/>
      </c>
      <c r="G1222" s="27" t="str">
        <v/>
      </c>
      <c r="H1222" s="27" t="str">
        <v/>
      </c>
      <c r="I1222" s="27" t="str">
        <v/>
      </c>
    </row>
    <row r="1223" spans="1:9" x14ac:dyDescent="0.2">
      <c r="A1223" s="23" t="str">
        <v/>
      </c>
      <c r="B1223" s="25" t="str">
        <v/>
      </c>
      <c r="C1223" s="27" t="str">
        <v/>
      </c>
      <c r="D1223" s="27" t="str">
        <v/>
      </c>
      <c r="E1223" s="27" t="str">
        <v/>
      </c>
      <c r="F1223" s="27" t="str">
        <v/>
      </c>
      <c r="G1223" s="27" t="str">
        <v/>
      </c>
      <c r="H1223" s="27" t="str">
        <v/>
      </c>
      <c r="I1223" s="27" t="str">
        <v/>
      </c>
    </row>
    <row r="1224" spans="1:9" x14ac:dyDescent="0.2">
      <c r="A1224" s="23" t="str">
        <v/>
      </c>
      <c r="B1224" s="25" t="str">
        <v/>
      </c>
      <c r="C1224" s="27" t="str">
        <v/>
      </c>
      <c r="D1224" s="27" t="str">
        <v/>
      </c>
      <c r="E1224" s="27" t="str">
        <v/>
      </c>
      <c r="F1224" s="27" t="str">
        <v/>
      </c>
      <c r="G1224" s="27" t="str">
        <v/>
      </c>
      <c r="H1224" s="27" t="str">
        <v/>
      </c>
      <c r="I1224" s="27" t="str">
        <v/>
      </c>
    </row>
    <row r="1225" spans="1:9" x14ac:dyDescent="0.2">
      <c r="A1225" s="23" t="str">
        <v/>
      </c>
      <c r="B1225" s="25" t="str">
        <v/>
      </c>
      <c r="C1225" s="27" t="str">
        <v/>
      </c>
      <c r="D1225" s="27" t="str">
        <v/>
      </c>
      <c r="E1225" s="27" t="str">
        <v/>
      </c>
      <c r="F1225" s="27" t="str">
        <v/>
      </c>
      <c r="G1225" s="27" t="str">
        <v/>
      </c>
      <c r="H1225" s="27" t="str">
        <v/>
      </c>
      <c r="I1225" s="27" t="str">
        <v/>
      </c>
    </row>
    <row r="1226" spans="1:9" x14ac:dyDescent="0.2">
      <c r="A1226" s="23" t="str">
        <v/>
      </c>
      <c r="B1226" s="25" t="str">
        <v/>
      </c>
      <c r="C1226" s="27" t="str">
        <v/>
      </c>
      <c r="D1226" s="27" t="str">
        <v/>
      </c>
      <c r="E1226" s="27" t="str">
        <v/>
      </c>
      <c r="F1226" s="27" t="str">
        <v/>
      </c>
      <c r="G1226" s="27" t="str">
        <v/>
      </c>
      <c r="H1226" s="27" t="str">
        <v/>
      </c>
      <c r="I1226" s="27" t="str">
        <v/>
      </c>
    </row>
    <row r="1227" spans="1:9" x14ac:dyDescent="0.2">
      <c r="A1227" s="23" t="str">
        <v/>
      </c>
      <c r="B1227" s="25" t="str">
        <v/>
      </c>
      <c r="C1227" s="27" t="str">
        <v/>
      </c>
      <c r="D1227" s="27" t="str">
        <v/>
      </c>
      <c r="E1227" s="27" t="str">
        <v/>
      </c>
      <c r="F1227" s="27" t="str">
        <v/>
      </c>
      <c r="G1227" s="27" t="str">
        <v/>
      </c>
      <c r="H1227" s="27" t="str">
        <v/>
      </c>
      <c r="I1227" s="27" t="str">
        <v/>
      </c>
    </row>
    <row r="1228" spans="1:9" x14ac:dyDescent="0.2">
      <c r="A1228" s="23" t="str">
        <v/>
      </c>
      <c r="B1228" s="25" t="str">
        <v/>
      </c>
      <c r="C1228" s="27" t="str">
        <v/>
      </c>
      <c r="D1228" s="27" t="str">
        <v/>
      </c>
      <c r="E1228" s="27" t="str">
        <v/>
      </c>
      <c r="F1228" s="27" t="str">
        <v/>
      </c>
      <c r="G1228" s="27" t="str">
        <v/>
      </c>
      <c r="H1228" s="27" t="str">
        <v/>
      </c>
      <c r="I1228" s="27" t="str">
        <v/>
      </c>
    </row>
    <row r="1229" spans="1:9" x14ac:dyDescent="0.2">
      <c r="A1229" s="23" t="str">
        <v/>
      </c>
      <c r="B1229" s="25" t="str">
        <v/>
      </c>
      <c r="C1229" s="27" t="str">
        <v/>
      </c>
      <c r="D1229" s="27" t="str">
        <v/>
      </c>
      <c r="E1229" s="27" t="str">
        <v/>
      </c>
      <c r="F1229" s="27" t="str">
        <v/>
      </c>
      <c r="G1229" s="27" t="str">
        <v/>
      </c>
      <c r="H1229" s="27" t="str">
        <v/>
      </c>
      <c r="I1229" s="27" t="str">
        <v/>
      </c>
    </row>
    <row r="1230" spans="1:9" x14ac:dyDescent="0.2">
      <c r="A1230" s="23" t="str">
        <v/>
      </c>
      <c r="B1230" s="25" t="str">
        <v/>
      </c>
      <c r="C1230" s="27" t="str">
        <v/>
      </c>
      <c r="D1230" s="27" t="str">
        <v/>
      </c>
      <c r="E1230" s="27" t="str">
        <v/>
      </c>
      <c r="F1230" s="27" t="str">
        <v/>
      </c>
      <c r="G1230" s="27" t="str">
        <v/>
      </c>
      <c r="H1230" s="27" t="str">
        <v/>
      </c>
      <c r="I1230" s="27" t="str">
        <v/>
      </c>
    </row>
    <row r="1231" spans="1:9" x14ac:dyDescent="0.2">
      <c r="A1231" s="23" t="str">
        <v/>
      </c>
      <c r="B1231" s="25" t="str">
        <v/>
      </c>
      <c r="C1231" s="27" t="str">
        <v/>
      </c>
      <c r="D1231" s="27" t="str">
        <v/>
      </c>
      <c r="E1231" s="27" t="str">
        <v/>
      </c>
      <c r="F1231" s="27" t="str">
        <v/>
      </c>
      <c r="G1231" s="27" t="str">
        <v/>
      </c>
      <c r="H1231" s="27" t="str">
        <v/>
      </c>
      <c r="I1231" s="27" t="str">
        <v/>
      </c>
    </row>
    <row r="1232" spans="1:9" x14ac:dyDescent="0.2">
      <c r="A1232" s="23" t="str">
        <v/>
      </c>
      <c r="B1232" s="25" t="str">
        <v/>
      </c>
      <c r="C1232" s="27" t="str">
        <v/>
      </c>
      <c r="D1232" s="27" t="str">
        <v/>
      </c>
      <c r="E1232" s="27" t="str">
        <v/>
      </c>
      <c r="F1232" s="27" t="str">
        <v/>
      </c>
      <c r="G1232" s="27" t="str">
        <v/>
      </c>
      <c r="H1232" s="27" t="str">
        <v/>
      </c>
      <c r="I1232" s="27" t="str">
        <v/>
      </c>
    </row>
    <row r="1233" spans="1:9" x14ac:dyDescent="0.2">
      <c r="A1233" s="23" t="str">
        <v/>
      </c>
      <c r="B1233" s="25" t="str">
        <v/>
      </c>
      <c r="C1233" s="27" t="str">
        <v/>
      </c>
      <c r="D1233" s="27" t="str">
        <v/>
      </c>
      <c r="E1233" s="27" t="str">
        <v/>
      </c>
      <c r="F1233" s="27" t="str">
        <v/>
      </c>
      <c r="G1233" s="27" t="str">
        <v/>
      </c>
      <c r="H1233" s="27" t="str">
        <v/>
      </c>
      <c r="I1233" s="27" t="str">
        <v/>
      </c>
    </row>
    <row r="1234" spans="1:9" x14ac:dyDescent="0.2">
      <c r="A1234" s="23" t="str">
        <v/>
      </c>
      <c r="B1234" s="25" t="str">
        <v/>
      </c>
      <c r="C1234" s="27" t="str">
        <v/>
      </c>
      <c r="D1234" s="27" t="str">
        <v/>
      </c>
      <c r="E1234" s="27" t="str">
        <v/>
      </c>
      <c r="F1234" s="27" t="str">
        <v/>
      </c>
      <c r="G1234" s="27" t="str">
        <v/>
      </c>
      <c r="H1234" s="27" t="str">
        <v/>
      </c>
      <c r="I1234" s="27" t="str">
        <v/>
      </c>
    </row>
    <row r="1235" spans="1:9" x14ac:dyDescent="0.2">
      <c r="A1235" s="23" t="str">
        <v/>
      </c>
      <c r="B1235" s="25" t="str">
        <v/>
      </c>
      <c r="C1235" s="27" t="str">
        <v/>
      </c>
      <c r="D1235" s="27" t="str">
        <v/>
      </c>
      <c r="E1235" s="27" t="str">
        <v/>
      </c>
      <c r="F1235" s="27" t="str">
        <v/>
      </c>
      <c r="G1235" s="27" t="str">
        <v/>
      </c>
      <c r="H1235" s="27" t="str">
        <v/>
      </c>
      <c r="I1235" s="27" t="str">
        <v/>
      </c>
    </row>
    <row r="1236" spans="1:9" x14ac:dyDescent="0.2">
      <c r="A1236" s="23" t="str">
        <v/>
      </c>
      <c r="B1236" s="25" t="str">
        <v/>
      </c>
      <c r="C1236" s="27" t="str">
        <v/>
      </c>
      <c r="D1236" s="27" t="str">
        <v/>
      </c>
      <c r="E1236" s="27" t="str">
        <v/>
      </c>
      <c r="F1236" s="27" t="str">
        <v/>
      </c>
      <c r="G1236" s="27" t="str">
        <v/>
      </c>
      <c r="H1236" s="27" t="str">
        <v/>
      </c>
      <c r="I1236" s="27" t="str">
        <v/>
      </c>
    </row>
    <row r="1237" spans="1:9" x14ac:dyDescent="0.2">
      <c r="A1237" s="23" t="str">
        <v/>
      </c>
      <c r="B1237" s="25" t="str">
        <v/>
      </c>
      <c r="C1237" s="27" t="str">
        <v/>
      </c>
      <c r="D1237" s="27" t="str">
        <v/>
      </c>
      <c r="E1237" s="27" t="str">
        <v/>
      </c>
      <c r="F1237" s="27" t="str">
        <v/>
      </c>
      <c r="G1237" s="27" t="str">
        <v/>
      </c>
      <c r="H1237" s="27" t="str">
        <v/>
      </c>
      <c r="I1237" s="27" t="str">
        <v/>
      </c>
    </row>
    <row r="1238" spans="1:9" x14ac:dyDescent="0.2">
      <c r="A1238" s="23" t="str">
        <v/>
      </c>
      <c r="B1238" s="25" t="str">
        <v/>
      </c>
      <c r="C1238" s="27" t="str">
        <v/>
      </c>
      <c r="D1238" s="27" t="str">
        <v/>
      </c>
      <c r="E1238" s="27" t="str">
        <v/>
      </c>
      <c r="F1238" s="27" t="str">
        <v/>
      </c>
      <c r="G1238" s="27" t="str">
        <v/>
      </c>
      <c r="H1238" s="27" t="str">
        <v/>
      </c>
      <c r="I1238" s="27" t="str">
        <v/>
      </c>
    </row>
    <row r="1239" spans="1:9" x14ac:dyDescent="0.2">
      <c r="A1239" s="23" t="str">
        <v/>
      </c>
      <c r="B1239" s="25" t="str">
        <v/>
      </c>
      <c r="C1239" s="27" t="str">
        <v/>
      </c>
      <c r="D1239" s="27" t="str">
        <v/>
      </c>
      <c r="E1239" s="27" t="str">
        <v/>
      </c>
      <c r="F1239" s="27" t="str">
        <v/>
      </c>
      <c r="G1239" s="27" t="str">
        <v/>
      </c>
      <c r="H1239" s="27" t="str">
        <v/>
      </c>
      <c r="I1239" s="27" t="str">
        <v/>
      </c>
    </row>
    <row r="1240" spans="1:9" x14ac:dyDescent="0.2">
      <c r="A1240" s="23" t="str">
        <v/>
      </c>
      <c r="B1240" s="25" t="str">
        <v/>
      </c>
      <c r="C1240" s="27" t="str">
        <v/>
      </c>
      <c r="D1240" s="27" t="str">
        <v/>
      </c>
      <c r="E1240" s="27" t="str">
        <v/>
      </c>
      <c r="F1240" s="27" t="str">
        <v/>
      </c>
      <c r="G1240" s="27" t="str">
        <v/>
      </c>
      <c r="H1240" s="27" t="str">
        <v/>
      </c>
      <c r="I1240" s="27" t="str">
        <v/>
      </c>
    </row>
    <row r="1241" spans="1:9" x14ac:dyDescent="0.2">
      <c r="A1241" s="23" t="str">
        <v/>
      </c>
      <c r="B1241" s="25" t="str">
        <v/>
      </c>
      <c r="C1241" s="27" t="str">
        <v/>
      </c>
      <c r="D1241" s="27" t="str">
        <v/>
      </c>
      <c r="E1241" s="27" t="str">
        <v/>
      </c>
      <c r="F1241" s="27" t="str">
        <v/>
      </c>
      <c r="G1241" s="27" t="str">
        <v/>
      </c>
      <c r="H1241" s="27" t="str">
        <v/>
      </c>
      <c r="I1241" s="27" t="str">
        <v/>
      </c>
    </row>
    <row r="1242" spans="1:9" x14ac:dyDescent="0.2">
      <c r="A1242" s="23" t="str">
        <v/>
      </c>
      <c r="B1242" s="25" t="str">
        <v/>
      </c>
      <c r="C1242" s="27" t="str">
        <v/>
      </c>
      <c r="D1242" s="27" t="str">
        <v/>
      </c>
      <c r="E1242" s="27" t="str">
        <v/>
      </c>
      <c r="F1242" s="27" t="str">
        <v/>
      </c>
      <c r="G1242" s="27" t="str">
        <v/>
      </c>
      <c r="H1242" s="27" t="str">
        <v/>
      </c>
      <c r="I1242" s="27" t="str">
        <v/>
      </c>
    </row>
    <row r="1243" spans="1:9" x14ac:dyDescent="0.2">
      <c r="A1243" s="23" t="str">
        <v/>
      </c>
      <c r="B1243" s="25" t="str">
        <v/>
      </c>
      <c r="C1243" s="27" t="str">
        <v/>
      </c>
      <c r="D1243" s="27" t="str">
        <v/>
      </c>
      <c r="E1243" s="27" t="str">
        <v/>
      </c>
      <c r="F1243" s="27" t="str">
        <v/>
      </c>
      <c r="G1243" s="27" t="str">
        <v/>
      </c>
      <c r="H1243" s="27" t="str">
        <v/>
      </c>
      <c r="I1243" s="27" t="str">
        <v/>
      </c>
    </row>
    <row r="1244" spans="1:9" x14ac:dyDescent="0.2">
      <c r="A1244" s="23" t="str">
        <v/>
      </c>
      <c r="B1244" s="25" t="str">
        <v/>
      </c>
      <c r="C1244" s="27" t="str">
        <v/>
      </c>
      <c r="D1244" s="27" t="str">
        <v/>
      </c>
      <c r="E1244" s="27" t="str">
        <v/>
      </c>
      <c r="F1244" s="27" t="str">
        <v/>
      </c>
      <c r="G1244" s="27" t="str">
        <v/>
      </c>
      <c r="H1244" s="27" t="str">
        <v/>
      </c>
      <c r="I1244" s="27" t="str">
        <v/>
      </c>
    </row>
    <row r="1245" spans="1:9" x14ac:dyDescent="0.2">
      <c r="A1245" s="23" t="str">
        <v/>
      </c>
      <c r="B1245" s="25" t="str">
        <v/>
      </c>
      <c r="C1245" s="27" t="str">
        <v/>
      </c>
      <c r="D1245" s="27" t="str">
        <v/>
      </c>
      <c r="E1245" s="27" t="str">
        <v/>
      </c>
      <c r="F1245" s="27" t="str">
        <v/>
      </c>
      <c r="G1245" s="27" t="str">
        <v/>
      </c>
      <c r="H1245" s="27" t="str">
        <v/>
      </c>
      <c r="I1245" s="27" t="str">
        <v/>
      </c>
    </row>
    <row r="1246" spans="1:9" x14ac:dyDescent="0.2">
      <c r="A1246" s="23" t="str">
        <v/>
      </c>
      <c r="B1246" s="25" t="str">
        <v/>
      </c>
      <c r="C1246" s="27" t="str">
        <v/>
      </c>
      <c r="D1246" s="27" t="str">
        <v/>
      </c>
      <c r="E1246" s="27" t="str">
        <v/>
      </c>
      <c r="F1246" s="27" t="str">
        <v/>
      </c>
      <c r="G1246" s="27" t="str">
        <v/>
      </c>
      <c r="H1246" s="27" t="str">
        <v/>
      </c>
      <c r="I1246" s="27" t="str">
        <v/>
      </c>
    </row>
    <row r="1247" spans="1:9" x14ac:dyDescent="0.2">
      <c r="A1247" s="23" t="str">
        <v/>
      </c>
      <c r="B1247" s="25" t="str">
        <v/>
      </c>
      <c r="C1247" s="27" t="str">
        <v/>
      </c>
      <c r="D1247" s="27" t="str">
        <v/>
      </c>
      <c r="E1247" s="27" t="str">
        <v/>
      </c>
      <c r="F1247" s="27" t="str">
        <v/>
      </c>
      <c r="G1247" s="27" t="str">
        <v/>
      </c>
      <c r="H1247" s="27" t="str">
        <v/>
      </c>
      <c r="I1247" s="27" t="str">
        <v/>
      </c>
    </row>
    <row r="1248" spans="1:9" x14ac:dyDescent="0.2">
      <c r="A1248" s="23" t="str">
        <v/>
      </c>
      <c r="B1248" s="25" t="str">
        <v/>
      </c>
      <c r="C1248" s="27" t="str">
        <v/>
      </c>
      <c r="D1248" s="27" t="str">
        <v/>
      </c>
      <c r="E1248" s="27" t="str">
        <v/>
      </c>
      <c r="F1248" s="27" t="str">
        <v/>
      </c>
      <c r="G1248" s="27" t="str">
        <v/>
      </c>
      <c r="H1248" s="27" t="str">
        <v/>
      </c>
      <c r="I1248" s="27" t="str">
        <v/>
      </c>
    </row>
    <row r="1249" spans="1:9" x14ac:dyDescent="0.2">
      <c r="A1249" s="23" t="str">
        <v/>
      </c>
      <c r="B1249" s="25" t="str">
        <v/>
      </c>
      <c r="C1249" s="27" t="str">
        <v/>
      </c>
      <c r="D1249" s="27" t="str">
        <v/>
      </c>
      <c r="E1249" s="27" t="str">
        <v/>
      </c>
      <c r="F1249" s="27" t="str">
        <v/>
      </c>
      <c r="G1249" s="27" t="str">
        <v/>
      </c>
      <c r="H1249" s="27" t="str">
        <v/>
      </c>
      <c r="I1249" s="27" t="str">
        <v/>
      </c>
    </row>
    <row r="1250" spans="1:9" x14ac:dyDescent="0.2">
      <c r="A1250" s="23" t="str">
        <v/>
      </c>
      <c r="B1250" s="25" t="str">
        <v/>
      </c>
      <c r="C1250" s="27" t="str">
        <v/>
      </c>
      <c r="D1250" s="27" t="str">
        <v/>
      </c>
      <c r="E1250" s="27" t="str">
        <v/>
      </c>
      <c r="F1250" s="27" t="str">
        <v/>
      </c>
      <c r="G1250" s="27" t="str">
        <v/>
      </c>
      <c r="H1250" s="27" t="str">
        <v/>
      </c>
      <c r="I1250" s="27" t="str">
        <v/>
      </c>
    </row>
    <row r="1251" spans="1:9" x14ac:dyDescent="0.2">
      <c r="A1251" s="23" t="str">
        <v/>
      </c>
      <c r="B1251" s="25" t="str">
        <v/>
      </c>
      <c r="C1251" s="27" t="str">
        <v/>
      </c>
      <c r="D1251" s="27" t="str">
        <v/>
      </c>
      <c r="E1251" s="27" t="str">
        <v/>
      </c>
      <c r="F1251" s="27" t="str">
        <v/>
      </c>
      <c r="G1251" s="27" t="str">
        <v/>
      </c>
      <c r="H1251" s="27" t="str">
        <v/>
      </c>
      <c r="I1251" s="27" t="str">
        <v/>
      </c>
    </row>
    <row r="1252" spans="1:9" x14ac:dyDescent="0.2">
      <c r="A1252" s="23" t="str">
        <v/>
      </c>
      <c r="B1252" s="25" t="str">
        <v/>
      </c>
      <c r="C1252" s="27" t="str">
        <v/>
      </c>
      <c r="D1252" s="27" t="str">
        <v/>
      </c>
      <c r="E1252" s="27" t="str">
        <v/>
      </c>
      <c r="F1252" s="27" t="str">
        <v/>
      </c>
      <c r="G1252" s="27" t="str">
        <v/>
      </c>
      <c r="H1252" s="27" t="str">
        <v/>
      </c>
      <c r="I1252" s="27" t="str">
        <v/>
      </c>
    </row>
    <row r="1253" spans="1:9" x14ac:dyDescent="0.2">
      <c r="A1253" s="23" t="str">
        <v/>
      </c>
      <c r="B1253" s="25" t="str">
        <v/>
      </c>
      <c r="C1253" s="27" t="str">
        <v/>
      </c>
      <c r="D1253" s="27" t="str">
        <v/>
      </c>
      <c r="E1253" s="27" t="str">
        <v/>
      </c>
      <c r="F1253" s="27" t="str">
        <v/>
      </c>
      <c r="G1253" s="27" t="str">
        <v/>
      </c>
      <c r="H1253" s="27" t="str">
        <v/>
      </c>
      <c r="I1253" s="27" t="str">
        <v/>
      </c>
    </row>
    <row r="1254" spans="1:9" x14ac:dyDescent="0.2">
      <c r="A1254" s="23" t="str">
        <v/>
      </c>
      <c r="B1254" s="25" t="str">
        <v/>
      </c>
      <c r="C1254" s="27" t="str">
        <v/>
      </c>
      <c r="D1254" s="27" t="str">
        <v/>
      </c>
      <c r="E1254" s="27" t="str">
        <v/>
      </c>
      <c r="F1254" s="27" t="str">
        <v/>
      </c>
      <c r="G1254" s="27" t="str">
        <v/>
      </c>
      <c r="H1254" s="27" t="str">
        <v/>
      </c>
      <c r="I1254" s="27" t="str">
        <v/>
      </c>
    </row>
    <row r="1255" spans="1:9" x14ac:dyDescent="0.2">
      <c r="A1255" s="23" t="str">
        <v/>
      </c>
      <c r="B1255" s="25" t="str">
        <v/>
      </c>
      <c r="C1255" s="27" t="str">
        <v/>
      </c>
      <c r="D1255" s="27" t="str">
        <v/>
      </c>
      <c r="E1255" s="27" t="str">
        <v/>
      </c>
      <c r="F1255" s="27" t="str">
        <v/>
      </c>
      <c r="G1255" s="27" t="str">
        <v/>
      </c>
      <c r="H1255" s="27" t="str">
        <v/>
      </c>
      <c r="I1255" s="27" t="str">
        <v/>
      </c>
    </row>
    <row r="1256" spans="1:9" x14ac:dyDescent="0.2">
      <c r="A1256" s="23" t="str">
        <v/>
      </c>
      <c r="B1256" s="25" t="str">
        <v/>
      </c>
      <c r="C1256" s="27" t="str">
        <v/>
      </c>
      <c r="D1256" s="27" t="str">
        <v/>
      </c>
      <c r="E1256" s="27" t="str">
        <v/>
      </c>
      <c r="F1256" s="27" t="str">
        <v/>
      </c>
      <c r="G1256" s="27" t="str">
        <v/>
      </c>
      <c r="H1256" s="27" t="str">
        <v/>
      </c>
      <c r="I1256" s="27" t="str">
        <v/>
      </c>
    </row>
    <row r="1257" spans="1:9" x14ac:dyDescent="0.2">
      <c r="A1257" s="23" t="str">
        <v/>
      </c>
      <c r="B1257" s="25" t="str">
        <v/>
      </c>
      <c r="C1257" s="27" t="str">
        <v/>
      </c>
      <c r="D1257" s="27" t="str">
        <v/>
      </c>
      <c r="E1257" s="27" t="str">
        <v/>
      </c>
      <c r="F1257" s="27" t="str">
        <v/>
      </c>
      <c r="G1257" s="27" t="str">
        <v/>
      </c>
      <c r="H1257" s="27" t="str">
        <v/>
      </c>
      <c r="I1257" s="27" t="str">
        <v/>
      </c>
    </row>
    <row r="1258" spans="1:9" x14ac:dyDescent="0.2">
      <c r="A1258" s="23" t="str">
        <v/>
      </c>
      <c r="B1258" s="25" t="str">
        <v/>
      </c>
      <c r="C1258" s="27" t="str">
        <v/>
      </c>
      <c r="D1258" s="27" t="str">
        <v/>
      </c>
      <c r="E1258" s="27" t="str">
        <v/>
      </c>
      <c r="F1258" s="27" t="str">
        <v/>
      </c>
      <c r="G1258" s="27" t="str">
        <v/>
      </c>
      <c r="H1258" s="27" t="str">
        <v/>
      </c>
      <c r="I1258" s="27" t="str">
        <v/>
      </c>
    </row>
    <row r="1259" spans="1:9" x14ac:dyDescent="0.2">
      <c r="A1259" s="23" t="str">
        <v/>
      </c>
      <c r="B1259" s="25" t="str">
        <v/>
      </c>
      <c r="C1259" s="27" t="str">
        <v/>
      </c>
      <c r="D1259" s="27" t="str">
        <v/>
      </c>
      <c r="E1259" s="27" t="str">
        <v/>
      </c>
      <c r="F1259" s="27" t="str">
        <v/>
      </c>
      <c r="G1259" s="27" t="str">
        <v/>
      </c>
      <c r="H1259" s="27" t="str">
        <v/>
      </c>
      <c r="I1259" s="27" t="str">
        <v/>
      </c>
    </row>
    <row r="1260" spans="1:9" x14ac:dyDescent="0.2">
      <c r="A1260" s="23" t="str">
        <v/>
      </c>
      <c r="B1260" s="25" t="str">
        <v/>
      </c>
      <c r="C1260" s="27" t="str">
        <v/>
      </c>
      <c r="D1260" s="27" t="str">
        <v/>
      </c>
      <c r="E1260" s="27" t="str">
        <v/>
      </c>
      <c r="F1260" s="27" t="str">
        <v/>
      </c>
      <c r="G1260" s="27" t="str">
        <v/>
      </c>
      <c r="H1260" s="27" t="str">
        <v/>
      </c>
      <c r="I1260" s="27" t="str">
        <v/>
      </c>
    </row>
    <row r="1261" spans="1:9" x14ac:dyDescent="0.2">
      <c r="A1261" s="23" t="str">
        <v/>
      </c>
      <c r="B1261" s="25" t="str">
        <v/>
      </c>
      <c r="C1261" s="27" t="str">
        <v/>
      </c>
      <c r="D1261" s="27" t="str">
        <v/>
      </c>
      <c r="E1261" s="27" t="str">
        <v/>
      </c>
      <c r="F1261" s="27" t="str">
        <v/>
      </c>
      <c r="G1261" s="27" t="str">
        <v/>
      </c>
      <c r="H1261" s="27" t="str">
        <v/>
      </c>
      <c r="I1261" s="27" t="str">
        <v/>
      </c>
    </row>
    <row r="1262" spans="1:9" x14ac:dyDescent="0.2">
      <c r="A1262" s="23" t="str">
        <v/>
      </c>
      <c r="B1262" s="25" t="str">
        <v/>
      </c>
      <c r="C1262" s="27" t="str">
        <v/>
      </c>
      <c r="D1262" s="27" t="str">
        <v/>
      </c>
      <c r="E1262" s="27" t="str">
        <v/>
      </c>
      <c r="F1262" s="27" t="str">
        <v/>
      </c>
      <c r="G1262" s="27" t="str">
        <v/>
      </c>
      <c r="H1262" s="27" t="str">
        <v/>
      </c>
      <c r="I1262" s="27" t="str">
        <v/>
      </c>
    </row>
    <row r="1263" spans="1:9" x14ac:dyDescent="0.2">
      <c r="A1263" s="23" t="str">
        <v/>
      </c>
      <c r="B1263" s="25" t="str">
        <v/>
      </c>
      <c r="C1263" s="27" t="str">
        <v/>
      </c>
      <c r="D1263" s="27" t="str">
        <v/>
      </c>
      <c r="E1263" s="27" t="str">
        <v/>
      </c>
      <c r="F1263" s="27" t="str">
        <v/>
      </c>
      <c r="G1263" s="27" t="str">
        <v/>
      </c>
      <c r="H1263" s="27" t="str">
        <v/>
      </c>
      <c r="I1263" s="27" t="str">
        <v/>
      </c>
    </row>
    <row r="1264" spans="1:9" x14ac:dyDescent="0.2">
      <c r="A1264" s="23" t="str">
        <v/>
      </c>
      <c r="B1264" s="25" t="str">
        <v/>
      </c>
      <c r="C1264" s="27" t="str">
        <v/>
      </c>
      <c r="D1264" s="27" t="str">
        <v/>
      </c>
      <c r="E1264" s="27" t="str">
        <v/>
      </c>
      <c r="F1264" s="27" t="str">
        <v/>
      </c>
      <c r="G1264" s="27" t="str">
        <v/>
      </c>
      <c r="H1264" s="27" t="str">
        <v/>
      </c>
      <c r="I1264" s="27" t="str">
        <v/>
      </c>
    </row>
    <row r="1265" spans="1:9" x14ac:dyDescent="0.2">
      <c r="A1265" s="23" t="str">
        <v/>
      </c>
      <c r="B1265" s="25" t="str">
        <v/>
      </c>
      <c r="C1265" s="27" t="str">
        <v/>
      </c>
      <c r="D1265" s="27" t="str">
        <v/>
      </c>
      <c r="E1265" s="27" t="str">
        <v/>
      </c>
      <c r="F1265" s="27" t="str">
        <v/>
      </c>
      <c r="G1265" s="27" t="str">
        <v/>
      </c>
      <c r="H1265" s="27" t="str">
        <v/>
      </c>
      <c r="I1265" s="27" t="str">
        <v/>
      </c>
    </row>
    <row r="1266" spans="1:9" x14ac:dyDescent="0.2">
      <c r="A1266" s="23" t="str">
        <v/>
      </c>
      <c r="B1266" s="25" t="str">
        <v/>
      </c>
      <c r="C1266" s="27" t="str">
        <v/>
      </c>
      <c r="D1266" s="27" t="str">
        <v/>
      </c>
      <c r="E1266" s="27" t="str">
        <v/>
      </c>
      <c r="F1266" s="27" t="str">
        <v/>
      </c>
      <c r="G1266" s="27" t="str">
        <v/>
      </c>
      <c r="H1266" s="27" t="str">
        <v/>
      </c>
      <c r="I1266" s="27" t="str">
        <v/>
      </c>
    </row>
    <row r="1267" spans="1:9" x14ac:dyDescent="0.2">
      <c r="A1267" s="23" t="str">
        <v/>
      </c>
      <c r="B1267" s="25" t="str">
        <v/>
      </c>
      <c r="C1267" s="27" t="str">
        <v/>
      </c>
      <c r="D1267" s="27" t="str">
        <v/>
      </c>
      <c r="E1267" s="27" t="str">
        <v/>
      </c>
      <c r="F1267" s="27" t="str">
        <v/>
      </c>
      <c r="G1267" s="27" t="str">
        <v/>
      </c>
      <c r="H1267" s="27" t="str">
        <v/>
      </c>
      <c r="I1267" s="27" t="str">
        <v/>
      </c>
    </row>
    <row r="1268" spans="1:9" x14ac:dyDescent="0.2">
      <c r="A1268" s="23" t="str">
        <v/>
      </c>
      <c r="B1268" s="25" t="str">
        <v/>
      </c>
      <c r="C1268" s="27" t="str">
        <v/>
      </c>
      <c r="D1268" s="27" t="str">
        <v/>
      </c>
      <c r="E1268" s="27" t="str">
        <v/>
      </c>
      <c r="F1268" s="27" t="str">
        <v/>
      </c>
      <c r="G1268" s="27" t="str">
        <v/>
      </c>
      <c r="H1268" s="27" t="str">
        <v/>
      </c>
      <c r="I1268" s="27" t="str">
        <v/>
      </c>
    </row>
    <row r="1269" spans="1:9" x14ac:dyDescent="0.2">
      <c r="A1269" s="23" t="str">
        <v/>
      </c>
      <c r="B1269" s="25" t="str">
        <v/>
      </c>
      <c r="C1269" s="27" t="str">
        <v/>
      </c>
      <c r="D1269" s="27" t="str">
        <v/>
      </c>
      <c r="E1269" s="27" t="str">
        <v/>
      </c>
      <c r="F1269" s="27" t="str">
        <v/>
      </c>
      <c r="G1269" s="27" t="str">
        <v/>
      </c>
      <c r="H1269" s="27" t="str">
        <v/>
      </c>
      <c r="I1269" s="27" t="str">
        <v/>
      </c>
    </row>
    <row r="1270" spans="1:9" x14ac:dyDescent="0.2">
      <c r="A1270" s="23" t="str">
        <v/>
      </c>
      <c r="B1270" s="25" t="str">
        <v/>
      </c>
      <c r="C1270" s="27" t="str">
        <v/>
      </c>
      <c r="D1270" s="27" t="str">
        <v/>
      </c>
      <c r="E1270" s="27" t="str">
        <v/>
      </c>
      <c r="F1270" s="27" t="str">
        <v/>
      </c>
      <c r="G1270" s="27" t="str">
        <v/>
      </c>
      <c r="H1270" s="27" t="str">
        <v/>
      </c>
      <c r="I1270" s="27" t="str">
        <v/>
      </c>
    </row>
    <row r="1271" spans="1:9" x14ac:dyDescent="0.2">
      <c r="A1271" s="23" t="str">
        <v/>
      </c>
      <c r="B1271" s="25" t="str">
        <v/>
      </c>
      <c r="C1271" s="27" t="str">
        <v/>
      </c>
      <c r="D1271" s="27" t="str">
        <v/>
      </c>
      <c r="E1271" s="27" t="str">
        <v/>
      </c>
      <c r="F1271" s="27" t="str">
        <v/>
      </c>
      <c r="G1271" s="27" t="str">
        <v/>
      </c>
      <c r="H1271" s="27" t="str">
        <v/>
      </c>
      <c r="I1271" s="27" t="str">
        <v/>
      </c>
    </row>
    <row r="1272" spans="1:9" x14ac:dyDescent="0.2">
      <c r="A1272" s="23" t="str">
        <v/>
      </c>
      <c r="B1272" s="25" t="str">
        <v/>
      </c>
      <c r="C1272" s="27" t="str">
        <v/>
      </c>
      <c r="D1272" s="27" t="str">
        <v/>
      </c>
      <c r="E1272" s="27" t="str">
        <v/>
      </c>
      <c r="F1272" s="27" t="str">
        <v/>
      </c>
      <c r="G1272" s="27" t="str">
        <v/>
      </c>
      <c r="H1272" s="27" t="str">
        <v/>
      </c>
      <c r="I1272" s="27" t="str">
        <v/>
      </c>
    </row>
    <row r="1273" spans="1:9" x14ac:dyDescent="0.2">
      <c r="A1273" s="23" t="str">
        <v/>
      </c>
      <c r="B1273" s="25" t="str">
        <v/>
      </c>
      <c r="C1273" s="27" t="str">
        <v/>
      </c>
      <c r="D1273" s="27" t="str">
        <v/>
      </c>
      <c r="E1273" s="27" t="str">
        <v/>
      </c>
      <c r="F1273" s="27" t="str">
        <v/>
      </c>
      <c r="G1273" s="27" t="str">
        <v/>
      </c>
      <c r="H1273" s="27" t="str">
        <v/>
      </c>
      <c r="I1273" s="27" t="str">
        <v/>
      </c>
    </row>
    <row r="1274" spans="1:9" x14ac:dyDescent="0.2">
      <c r="A1274" s="23" t="str">
        <v/>
      </c>
      <c r="B1274" s="25" t="str">
        <v/>
      </c>
      <c r="C1274" s="27" t="str">
        <v/>
      </c>
      <c r="D1274" s="27" t="str">
        <v/>
      </c>
      <c r="E1274" s="27" t="str">
        <v/>
      </c>
      <c r="F1274" s="27" t="str">
        <v/>
      </c>
      <c r="G1274" s="27" t="str">
        <v/>
      </c>
      <c r="H1274" s="27" t="str">
        <v/>
      </c>
      <c r="I1274" s="27" t="str">
        <v/>
      </c>
    </row>
    <row r="1275" spans="1:9" x14ac:dyDescent="0.2">
      <c r="A1275" s="23" t="str">
        <v/>
      </c>
      <c r="B1275" s="25" t="str">
        <v/>
      </c>
      <c r="C1275" s="27" t="str">
        <v/>
      </c>
      <c r="D1275" s="27" t="str">
        <v/>
      </c>
      <c r="E1275" s="27" t="str">
        <v/>
      </c>
      <c r="F1275" s="27" t="str">
        <v/>
      </c>
      <c r="G1275" s="27" t="str">
        <v/>
      </c>
      <c r="H1275" s="27" t="str">
        <v/>
      </c>
      <c r="I1275" s="27" t="str">
        <v/>
      </c>
    </row>
    <row r="1276" spans="1:9" x14ac:dyDescent="0.2">
      <c r="A1276" s="23" t="str">
        <v/>
      </c>
      <c r="B1276" s="25" t="str">
        <v/>
      </c>
      <c r="C1276" s="27" t="str">
        <v/>
      </c>
      <c r="D1276" s="27" t="str">
        <v/>
      </c>
      <c r="E1276" s="27" t="str">
        <v/>
      </c>
      <c r="F1276" s="27" t="str">
        <v/>
      </c>
      <c r="G1276" s="27" t="str">
        <v/>
      </c>
      <c r="H1276" s="27" t="str">
        <v/>
      </c>
      <c r="I1276" s="27" t="str">
        <v/>
      </c>
    </row>
    <row r="1277" spans="1:9" x14ac:dyDescent="0.2">
      <c r="A1277" s="23" t="str">
        <v/>
      </c>
      <c r="B1277" s="25" t="str">
        <v/>
      </c>
      <c r="C1277" s="27" t="str">
        <v/>
      </c>
      <c r="D1277" s="27" t="str">
        <v/>
      </c>
      <c r="E1277" s="27" t="str">
        <v/>
      </c>
      <c r="F1277" s="27" t="str">
        <v/>
      </c>
      <c r="G1277" s="27" t="str">
        <v/>
      </c>
      <c r="H1277" s="27" t="str">
        <v/>
      </c>
      <c r="I1277" s="27" t="str">
        <v/>
      </c>
    </row>
    <row r="1278" spans="1:9" x14ac:dyDescent="0.2">
      <c r="A1278" s="23" t="str">
        <v/>
      </c>
      <c r="B1278" s="25" t="str">
        <v/>
      </c>
      <c r="C1278" s="27" t="str">
        <v/>
      </c>
      <c r="D1278" s="27" t="str">
        <v/>
      </c>
      <c r="E1278" s="27" t="str">
        <v/>
      </c>
      <c r="F1278" s="27" t="str">
        <v/>
      </c>
      <c r="G1278" s="27" t="str">
        <v/>
      </c>
      <c r="H1278" s="27" t="str">
        <v/>
      </c>
      <c r="I1278" s="27" t="str">
        <v/>
      </c>
    </row>
    <row r="1279" spans="1:9" x14ac:dyDescent="0.2">
      <c r="A1279" s="23" t="str">
        <v/>
      </c>
      <c r="B1279" s="25" t="str">
        <v/>
      </c>
      <c r="C1279" s="27" t="str">
        <v/>
      </c>
      <c r="D1279" s="27" t="str">
        <v/>
      </c>
      <c r="E1279" s="27" t="str">
        <v/>
      </c>
      <c r="F1279" s="27" t="str">
        <v/>
      </c>
      <c r="G1279" s="27" t="str">
        <v/>
      </c>
      <c r="H1279" s="27" t="str">
        <v/>
      </c>
      <c r="I1279" s="27" t="str">
        <v/>
      </c>
    </row>
    <row r="1280" spans="1:9" x14ac:dyDescent="0.2">
      <c r="A1280" s="23" t="str">
        <v/>
      </c>
      <c r="B1280" s="25" t="str">
        <v/>
      </c>
      <c r="C1280" s="27" t="str">
        <v/>
      </c>
      <c r="D1280" s="27" t="str">
        <v/>
      </c>
      <c r="E1280" s="27" t="str">
        <v/>
      </c>
      <c r="F1280" s="27" t="str">
        <v/>
      </c>
      <c r="G1280" s="27" t="str">
        <v/>
      </c>
      <c r="H1280" s="27" t="str">
        <v/>
      </c>
      <c r="I1280" s="27" t="str">
        <v/>
      </c>
    </row>
    <row r="1281" spans="1:9" x14ac:dyDescent="0.2">
      <c r="A1281" s="23" t="str">
        <v/>
      </c>
      <c r="B1281" s="25" t="str">
        <v/>
      </c>
      <c r="C1281" s="27" t="str">
        <v/>
      </c>
      <c r="D1281" s="27" t="str">
        <v/>
      </c>
      <c r="E1281" s="27" t="str">
        <v/>
      </c>
      <c r="F1281" s="27" t="str">
        <v/>
      </c>
      <c r="G1281" s="27" t="str">
        <v/>
      </c>
      <c r="H1281" s="27" t="str">
        <v/>
      </c>
      <c r="I1281" s="27" t="str">
        <v/>
      </c>
    </row>
    <row r="1282" spans="1:9" x14ac:dyDescent="0.2">
      <c r="A1282" s="23" t="str">
        <v/>
      </c>
      <c r="B1282" s="25" t="str">
        <v/>
      </c>
      <c r="C1282" s="27" t="str">
        <v/>
      </c>
      <c r="D1282" s="27" t="str">
        <v/>
      </c>
      <c r="E1282" s="27" t="str">
        <v/>
      </c>
      <c r="F1282" s="27" t="str">
        <v/>
      </c>
      <c r="G1282" s="27" t="str">
        <v/>
      </c>
      <c r="H1282" s="27" t="str">
        <v/>
      </c>
      <c r="I1282" s="27" t="str">
        <v/>
      </c>
    </row>
    <row r="1283" spans="1:9" x14ac:dyDescent="0.2">
      <c r="A1283" s="23" t="str">
        <v/>
      </c>
      <c r="B1283" s="25" t="str">
        <v/>
      </c>
      <c r="C1283" s="27" t="str">
        <v/>
      </c>
      <c r="D1283" s="27" t="str">
        <v/>
      </c>
      <c r="E1283" s="27" t="str">
        <v/>
      </c>
      <c r="F1283" s="27" t="str">
        <v/>
      </c>
      <c r="G1283" s="27" t="str">
        <v/>
      </c>
      <c r="H1283" s="27" t="str">
        <v/>
      </c>
      <c r="I1283" s="27" t="str">
        <v/>
      </c>
    </row>
    <row r="1284" spans="1:9" x14ac:dyDescent="0.2">
      <c r="A1284" s="23" t="str">
        <v/>
      </c>
      <c r="B1284" s="25" t="str">
        <v/>
      </c>
      <c r="C1284" s="27" t="str">
        <v/>
      </c>
      <c r="D1284" s="27" t="str">
        <v/>
      </c>
      <c r="E1284" s="27" t="str">
        <v/>
      </c>
      <c r="F1284" s="27" t="str">
        <v/>
      </c>
      <c r="G1284" s="27" t="str">
        <v/>
      </c>
      <c r="H1284" s="27" t="str">
        <v/>
      </c>
      <c r="I1284" s="27" t="str">
        <v/>
      </c>
    </row>
    <row r="1285" spans="1:9" x14ac:dyDescent="0.2">
      <c r="A1285" s="23" t="str">
        <v/>
      </c>
      <c r="B1285" s="25" t="str">
        <v/>
      </c>
      <c r="C1285" s="27" t="str">
        <v/>
      </c>
      <c r="D1285" s="27" t="str">
        <v/>
      </c>
      <c r="E1285" s="27" t="str">
        <v/>
      </c>
      <c r="F1285" s="27" t="str">
        <v/>
      </c>
      <c r="G1285" s="27" t="str">
        <v/>
      </c>
      <c r="H1285" s="27" t="str">
        <v/>
      </c>
      <c r="I1285" s="27" t="str">
        <v/>
      </c>
    </row>
    <row r="1286" spans="1:9" x14ac:dyDescent="0.2">
      <c r="A1286" s="23" t="str">
        <v/>
      </c>
      <c r="B1286" s="25" t="str">
        <v/>
      </c>
      <c r="C1286" s="27" t="str">
        <v/>
      </c>
      <c r="D1286" s="27" t="str">
        <v/>
      </c>
      <c r="E1286" s="27" t="str">
        <v/>
      </c>
      <c r="F1286" s="27" t="str">
        <v/>
      </c>
      <c r="G1286" s="27" t="str">
        <v/>
      </c>
      <c r="H1286" s="27" t="str">
        <v/>
      </c>
      <c r="I1286" s="27" t="str">
        <v/>
      </c>
    </row>
    <row r="1287" spans="1:9" x14ac:dyDescent="0.2">
      <c r="A1287" s="23" t="str">
        <v/>
      </c>
      <c r="B1287" s="25" t="str">
        <v/>
      </c>
      <c r="C1287" s="27" t="str">
        <v/>
      </c>
      <c r="D1287" s="27" t="str">
        <v/>
      </c>
      <c r="E1287" s="27" t="str">
        <v/>
      </c>
      <c r="F1287" s="27" t="str">
        <v/>
      </c>
      <c r="G1287" s="27" t="str">
        <v/>
      </c>
      <c r="H1287" s="27" t="str">
        <v/>
      </c>
      <c r="I1287" s="27" t="str">
        <v/>
      </c>
    </row>
    <row r="1288" spans="1:9" x14ac:dyDescent="0.2">
      <c r="A1288" s="23" t="str">
        <v/>
      </c>
      <c r="B1288" s="25" t="str">
        <v/>
      </c>
      <c r="C1288" s="27" t="str">
        <v/>
      </c>
      <c r="D1288" s="27" t="str">
        <v/>
      </c>
      <c r="E1288" s="27" t="str">
        <v/>
      </c>
      <c r="F1288" s="27" t="str">
        <v/>
      </c>
      <c r="G1288" s="27" t="str">
        <v/>
      </c>
      <c r="H1288" s="27" t="str">
        <v/>
      </c>
      <c r="I1288" s="27" t="str">
        <v/>
      </c>
    </row>
    <row r="1289" spans="1:9" x14ac:dyDescent="0.2">
      <c r="A1289" s="23" t="str">
        <v/>
      </c>
      <c r="B1289" s="25" t="str">
        <v/>
      </c>
      <c r="C1289" s="27" t="str">
        <v/>
      </c>
      <c r="D1289" s="27" t="str">
        <v/>
      </c>
      <c r="E1289" s="27" t="str">
        <v/>
      </c>
      <c r="F1289" s="27" t="str">
        <v/>
      </c>
      <c r="G1289" s="27" t="str">
        <v/>
      </c>
      <c r="H1289" s="27" t="str">
        <v/>
      </c>
      <c r="I1289" s="27" t="str">
        <v/>
      </c>
    </row>
    <row r="1290" spans="1:9" x14ac:dyDescent="0.2">
      <c r="A1290" s="23" t="str">
        <v/>
      </c>
      <c r="B1290" s="25" t="str">
        <v/>
      </c>
      <c r="C1290" s="27" t="str">
        <v/>
      </c>
      <c r="D1290" s="27" t="str">
        <v/>
      </c>
      <c r="E1290" s="27" t="str">
        <v/>
      </c>
      <c r="F1290" s="27" t="str">
        <v/>
      </c>
      <c r="G1290" s="27" t="str">
        <v/>
      </c>
      <c r="H1290" s="27" t="str">
        <v/>
      </c>
      <c r="I1290" s="27" t="str">
        <v/>
      </c>
    </row>
    <row r="1291" spans="1:9" x14ac:dyDescent="0.2">
      <c r="A1291" s="23" t="str">
        <v/>
      </c>
      <c r="B1291" s="25" t="str">
        <v/>
      </c>
      <c r="C1291" s="27" t="str">
        <v/>
      </c>
      <c r="D1291" s="27" t="str">
        <v/>
      </c>
      <c r="E1291" s="27" t="str">
        <v/>
      </c>
      <c r="F1291" s="27" t="str">
        <v/>
      </c>
      <c r="G1291" s="27" t="str">
        <v/>
      </c>
      <c r="H1291" s="27" t="str">
        <v/>
      </c>
      <c r="I1291" s="27" t="str">
        <v/>
      </c>
    </row>
    <row r="1292" spans="1:9" x14ac:dyDescent="0.2">
      <c r="A1292" s="23" t="str">
        <v/>
      </c>
      <c r="B1292" s="25" t="str">
        <v/>
      </c>
      <c r="C1292" s="27" t="str">
        <v/>
      </c>
      <c r="D1292" s="27" t="str">
        <v/>
      </c>
      <c r="E1292" s="27" t="str">
        <v/>
      </c>
      <c r="F1292" s="27" t="str">
        <v/>
      </c>
      <c r="G1292" s="27" t="str">
        <v/>
      </c>
      <c r="H1292" s="27" t="str">
        <v/>
      </c>
      <c r="I1292" s="27" t="str">
        <v/>
      </c>
    </row>
    <row r="1293" spans="1:9" x14ac:dyDescent="0.2">
      <c r="A1293" s="23" t="str">
        <v/>
      </c>
      <c r="B1293" s="25" t="str">
        <v/>
      </c>
      <c r="C1293" s="27" t="str">
        <v/>
      </c>
      <c r="D1293" s="27" t="str">
        <v/>
      </c>
      <c r="E1293" s="27" t="str">
        <v/>
      </c>
      <c r="F1293" s="27" t="str">
        <v/>
      </c>
      <c r="G1293" s="27" t="str">
        <v/>
      </c>
      <c r="H1293" s="27" t="str">
        <v/>
      </c>
      <c r="I1293" s="27" t="str">
        <v/>
      </c>
    </row>
    <row r="1294" spans="1:9" x14ac:dyDescent="0.2">
      <c r="A1294" s="23" t="str">
        <v/>
      </c>
      <c r="B1294" s="25" t="str">
        <v/>
      </c>
      <c r="C1294" s="27" t="str">
        <v/>
      </c>
      <c r="D1294" s="27" t="str">
        <v/>
      </c>
      <c r="E1294" s="27" t="str">
        <v/>
      </c>
      <c r="F1294" s="27" t="str">
        <v/>
      </c>
      <c r="G1294" s="27" t="str">
        <v/>
      </c>
      <c r="H1294" s="27" t="str">
        <v/>
      </c>
      <c r="I1294" s="27" t="str">
        <v/>
      </c>
    </row>
    <row r="1295" spans="1:9" x14ac:dyDescent="0.2">
      <c r="A1295" s="23" t="str">
        <v/>
      </c>
      <c r="B1295" s="25" t="str">
        <v/>
      </c>
      <c r="C1295" s="27" t="str">
        <v/>
      </c>
      <c r="D1295" s="27" t="str">
        <v/>
      </c>
      <c r="E1295" s="27" t="str">
        <v/>
      </c>
      <c r="F1295" s="27" t="str">
        <v/>
      </c>
      <c r="G1295" s="27" t="str">
        <v/>
      </c>
      <c r="H1295" s="27" t="str">
        <v/>
      </c>
      <c r="I1295" s="27" t="str">
        <v/>
      </c>
    </row>
    <row r="1296" spans="1:9" x14ac:dyDescent="0.2">
      <c r="A1296" s="23" t="str">
        <v/>
      </c>
      <c r="B1296" s="25" t="str">
        <v/>
      </c>
      <c r="C1296" s="27" t="str">
        <v/>
      </c>
      <c r="D1296" s="27" t="str">
        <v/>
      </c>
      <c r="E1296" s="27" t="str">
        <v/>
      </c>
      <c r="F1296" s="27" t="str">
        <v/>
      </c>
      <c r="G1296" s="27" t="str">
        <v/>
      </c>
      <c r="H1296" s="27" t="str">
        <v/>
      </c>
      <c r="I1296" s="27" t="str">
        <v/>
      </c>
    </row>
    <row r="1297" spans="1:9" x14ac:dyDescent="0.2">
      <c r="A1297" s="23" t="str">
        <v/>
      </c>
      <c r="B1297" s="25" t="str">
        <v/>
      </c>
      <c r="C1297" s="27" t="str">
        <v/>
      </c>
      <c r="D1297" s="27" t="str">
        <v/>
      </c>
      <c r="E1297" s="27" t="str">
        <v/>
      </c>
      <c r="F1297" s="27" t="str">
        <v/>
      </c>
      <c r="G1297" s="27" t="str">
        <v/>
      </c>
      <c r="H1297" s="27" t="str">
        <v/>
      </c>
      <c r="I1297" s="27" t="str">
        <v/>
      </c>
    </row>
    <row r="1298" spans="1:9" x14ac:dyDescent="0.2">
      <c r="A1298" s="23" t="str">
        <v/>
      </c>
      <c r="B1298" s="25" t="str">
        <v/>
      </c>
      <c r="C1298" s="27" t="str">
        <v/>
      </c>
      <c r="D1298" s="27" t="str">
        <v/>
      </c>
      <c r="E1298" s="27" t="str">
        <v/>
      </c>
      <c r="F1298" s="27" t="str">
        <v/>
      </c>
      <c r="G1298" s="27" t="str">
        <v/>
      </c>
      <c r="H1298" s="27" t="str">
        <v/>
      </c>
      <c r="I1298" s="27" t="str">
        <v/>
      </c>
    </row>
    <row r="1299" spans="1:9" x14ac:dyDescent="0.2">
      <c r="A1299" s="23" t="str">
        <v/>
      </c>
      <c r="B1299" s="25" t="str">
        <v/>
      </c>
      <c r="C1299" s="27" t="str">
        <v/>
      </c>
      <c r="D1299" s="27" t="str">
        <v/>
      </c>
      <c r="E1299" s="27" t="str">
        <v/>
      </c>
      <c r="F1299" s="27" t="str">
        <v/>
      </c>
      <c r="G1299" s="27" t="str">
        <v/>
      </c>
      <c r="H1299" s="27" t="str">
        <v/>
      </c>
      <c r="I1299" s="27" t="str">
        <v/>
      </c>
    </row>
    <row r="1300" spans="1:9" x14ac:dyDescent="0.2">
      <c r="A1300" s="23" t="str">
        <v/>
      </c>
      <c r="B1300" s="25" t="str">
        <v/>
      </c>
      <c r="C1300" s="27" t="str">
        <v/>
      </c>
      <c r="D1300" s="27" t="str">
        <v/>
      </c>
      <c r="E1300" s="27" t="str">
        <v/>
      </c>
      <c r="F1300" s="27" t="str">
        <v/>
      </c>
      <c r="G1300" s="27" t="str">
        <v/>
      </c>
      <c r="H1300" s="27" t="str">
        <v/>
      </c>
      <c r="I1300" s="27" t="str">
        <v/>
      </c>
    </row>
    <row r="1301" spans="1:9" x14ac:dyDescent="0.2">
      <c r="A1301" s="23" t="str">
        <v/>
      </c>
      <c r="B1301" s="25" t="str">
        <v/>
      </c>
      <c r="C1301" s="27" t="str">
        <v/>
      </c>
      <c r="D1301" s="27" t="str">
        <v/>
      </c>
      <c r="E1301" s="27" t="str">
        <v/>
      </c>
      <c r="F1301" s="27" t="str">
        <v/>
      </c>
      <c r="G1301" s="27" t="str">
        <v/>
      </c>
      <c r="H1301" s="27" t="str">
        <v/>
      </c>
      <c r="I1301" s="27" t="str">
        <v/>
      </c>
    </row>
    <row r="1302" spans="1:9" x14ac:dyDescent="0.2">
      <c r="A1302" s="23" t="str">
        <v/>
      </c>
      <c r="B1302" s="25" t="str">
        <v/>
      </c>
      <c r="C1302" s="27" t="str">
        <v/>
      </c>
      <c r="D1302" s="27" t="str">
        <v/>
      </c>
      <c r="E1302" s="27" t="str">
        <v/>
      </c>
      <c r="F1302" s="27" t="str">
        <v/>
      </c>
      <c r="G1302" s="27" t="str">
        <v/>
      </c>
      <c r="H1302" s="27" t="str">
        <v/>
      </c>
      <c r="I1302" s="27" t="str">
        <v/>
      </c>
    </row>
    <row r="1303" spans="1:9" x14ac:dyDescent="0.2">
      <c r="A1303" s="23" t="str">
        <v/>
      </c>
      <c r="B1303" s="25" t="str">
        <v/>
      </c>
      <c r="C1303" s="27" t="str">
        <v/>
      </c>
      <c r="D1303" s="27" t="str">
        <v/>
      </c>
      <c r="E1303" s="27" t="str">
        <v/>
      </c>
      <c r="F1303" s="27" t="str">
        <v/>
      </c>
      <c r="G1303" s="27" t="str">
        <v/>
      </c>
      <c r="H1303" s="27" t="str">
        <v/>
      </c>
      <c r="I1303" s="27" t="str">
        <v/>
      </c>
    </row>
    <row r="1304" spans="1:9" x14ac:dyDescent="0.2">
      <c r="A1304" s="23" t="str">
        <v/>
      </c>
      <c r="B1304" s="25" t="str">
        <v/>
      </c>
      <c r="C1304" s="27" t="str">
        <v/>
      </c>
      <c r="D1304" s="27" t="str">
        <v/>
      </c>
      <c r="E1304" s="27" t="str">
        <v/>
      </c>
      <c r="F1304" s="27" t="str">
        <v/>
      </c>
      <c r="G1304" s="27" t="str">
        <v/>
      </c>
      <c r="H1304" s="27" t="str">
        <v/>
      </c>
      <c r="I1304" s="27" t="str">
        <v/>
      </c>
    </row>
    <row r="1305" spans="1:9" x14ac:dyDescent="0.2">
      <c r="A1305" s="23" t="str">
        <v/>
      </c>
      <c r="B1305" s="25" t="str">
        <v/>
      </c>
      <c r="C1305" s="27" t="str">
        <v/>
      </c>
      <c r="D1305" s="27" t="str">
        <v/>
      </c>
      <c r="E1305" s="27" t="str">
        <v/>
      </c>
      <c r="F1305" s="27" t="str">
        <v/>
      </c>
      <c r="G1305" s="27" t="str">
        <v/>
      </c>
      <c r="H1305" s="27" t="str">
        <v/>
      </c>
      <c r="I1305" s="27" t="str">
        <v/>
      </c>
    </row>
    <row r="1306" spans="1:9" x14ac:dyDescent="0.2">
      <c r="A1306" s="23" t="str">
        <v/>
      </c>
      <c r="B1306" s="25" t="str">
        <v/>
      </c>
      <c r="C1306" s="27" t="str">
        <v/>
      </c>
      <c r="D1306" s="27" t="str">
        <v/>
      </c>
      <c r="E1306" s="27" t="str">
        <v/>
      </c>
      <c r="F1306" s="27" t="str">
        <v/>
      </c>
      <c r="G1306" s="27" t="str">
        <v/>
      </c>
      <c r="H1306" s="27" t="str">
        <v/>
      </c>
      <c r="I1306" s="27" t="str">
        <v/>
      </c>
    </row>
    <row r="1307" spans="1:9" x14ac:dyDescent="0.2">
      <c r="A1307" s="23" t="str">
        <v/>
      </c>
      <c r="B1307" s="25" t="str">
        <v/>
      </c>
      <c r="C1307" s="27" t="str">
        <v/>
      </c>
      <c r="D1307" s="27" t="str">
        <v/>
      </c>
      <c r="E1307" s="27" t="str">
        <v/>
      </c>
      <c r="F1307" s="27" t="str">
        <v/>
      </c>
      <c r="G1307" s="27" t="str">
        <v/>
      </c>
      <c r="H1307" s="27" t="str">
        <v/>
      </c>
      <c r="I1307" s="27" t="str">
        <v/>
      </c>
    </row>
    <row r="1308" spans="1:9" x14ac:dyDescent="0.2">
      <c r="A1308" s="23" t="str">
        <v/>
      </c>
      <c r="B1308" s="25" t="str">
        <v/>
      </c>
      <c r="C1308" s="27" t="str">
        <v/>
      </c>
      <c r="D1308" s="27" t="str">
        <v/>
      </c>
      <c r="E1308" s="27" t="str">
        <v/>
      </c>
      <c r="F1308" s="27" t="str">
        <v/>
      </c>
      <c r="G1308" s="27" t="str">
        <v/>
      </c>
      <c r="H1308" s="27" t="str">
        <v/>
      </c>
      <c r="I1308" s="27" t="str">
        <v/>
      </c>
    </row>
    <row r="1309" spans="1:9" x14ac:dyDescent="0.2">
      <c r="A1309" s="23" t="str">
        <v/>
      </c>
      <c r="B1309" s="25" t="str">
        <v/>
      </c>
      <c r="C1309" s="27" t="str">
        <v/>
      </c>
      <c r="D1309" s="27" t="str">
        <v/>
      </c>
      <c r="E1309" s="27" t="str">
        <v/>
      </c>
      <c r="F1309" s="27" t="str">
        <v/>
      </c>
      <c r="G1309" s="27" t="str">
        <v/>
      </c>
      <c r="H1309" s="27" t="str">
        <v/>
      </c>
      <c r="I1309" s="27" t="str">
        <v/>
      </c>
    </row>
    <row r="1310" spans="1:9" x14ac:dyDescent="0.2">
      <c r="A1310" s="23" t="str">
        <v/>
      </c>
      <c r="B1310" s="25" t="str">
        <v/>
      </c>
      <c r="C1310" s="27" t="str">
        <v/>
      </c>
      <c r="D1310" s="27" t="str">
        <v/>
      </c>
      <c r="E1310" s="27" t="str">
        <v/>
      </c>
      <c r="F1310" s="27" t="str">
        <v/>
      </c>
      <c r="G1310" s="27" t="str">
        <v/>
      </c>
      <c r="H1310" s="27" t="str">
        <v/>
      </c>
      <c r="I1310" s="27" t="str">
        <v/>
      </c>
    </row>
    <row r="1311" spans="1:9" x14ac:dyDescent="0.2">
      <c r="A1311" s="23" t="str">
        <v/>
      </c>
      <c r="B1311" s="25" t="str">
        <v/>
      </c>
      <c r="C1311" s="27" t="str">
        <v/>
      </c>
      <c r="D1311" s="27" t="str">
        <v/>
      </c>
      <c r="E1311" s="27" t="str">
        <v/>
      </c>
      <c r="F1311" s="27" t="str">
        <v/>
      </c>
      <c r="G1311" s="27" t="str">
        <v/>
      </c>
      <c r="H1311" s="27" t="str">
        <v/>
      </c>
      <c r="I1311" s="27" t="str">
        <v/>
      </c>
    </row>
    <row r="1312" spans="1:9" x14ac:dyDescent="0.2">
      <c r="A1312" s="23" t="str">
        <v/>
      </c>
      <c r="B1312" s="25" t="str">
        <v/>
      </c>
      <c r="C1312" s="27" t="str">
        <v/>
      </c>
      <c r="D1312" s="27" t="str">
        <v/>
      </c>
      <c r="E1312" s="27" t="str">
        <v/>
      </c>
      <c r="F1312" s="27" t="str">
        <v/>
      </c>
      <c r="G1312" s="27" t="str">
        <v/>
      </c>
      <c r="H1312" s="27" t="str">
        <v/>
      </c>
      <c r="I1312" s="27" t="str">
        <v/>
      </c>
    </row>
    <row r="1313" spans="1:9" x14ac:dyDescent="0.2">
      <c r="A1313" s="23" t="str">
        <v/>
      </c>
      <c r="B1313" s="25" t="str">
        <v/>
      </c>
      <c r="C1313" s="27" t="str">
        <v/>
      </c>
      <c r="D1313" s="27" t="str">
        <v/>
      </c>
      <c r="E1313" s="27" t="str">
        <v/>
      </c>
      <c r="F1313" s="27" t="str">
        <v/>
      </c>
      <c r="G1313" s="27" t="str">
        <v/>
      </c>
      <c r="H1313" s="27" t="str">
        <v/>
      </c>
      <c r="I1313" s="27" t="str">
        <v/>
      </c>
    </row>
    <row r="1314" spans="1:9" x14ac:dyDescent="0.2">
      <c r="A1314" s="23" t="str">
        <v/>
      </c>
      <c r="B1314" s="25" t="str">
        <v/>
      </c>
      <c r="C1314" s="27" t="str">
        <v/>
      </c>
      <c r="D1314" s="27" t="str">
        <v/>
      </c>
      <c r="E1314" s="27" t="str">
        <v/>
      </c>
      <c r="F1314" s="27" t="str">
        <v/>
      </c>
      <c r="G1314" s="27" t="str">
        <v/>
      </c>
      <c r="H1314" s="27" t="str">
        <v/>
      </c>
      <c r="I1314" s="27" t="str">
        <v/>
      </c>
    </row>
    <row r="1315" spans="1:9" x14ac:dyDescent="0.2">
      <c r="A1315" s="23" t="str">
        <v/>
      </c>
      <c r="B1315" s="25" t="str">
        <v/>
      </c>
      <c r="C1315" s="27" t="str">
        <v/>
      </c>
      <c r="D1315" s="27" t="str">
        <v/>
      </c>
      <c r="E1315" s="27" t="str">
        <v/>
      </c>
      <c r="F1315" s="27" t="str">
        <v/>
      </c>
      <c r="G1315" s="27" t="str">
        <v/>
      </c>
      <c r="H1315" s="27" t="str">
        <v/>
      </c>
      <c r="I1315" s="27" t="str">
        <v/>
      </c>
    </row>
    <row r="1316" spans="1:9" x14ac:dyDescent="0.2">
      <c r="A1316" s="23" t="str">
        <v/>
      </c>
      <c r="B1316" s="25" t="str">
        <v/>
      </c>
      <c r="C1316" s="27" t="str">
        <v/>
      </c>
      <c r="D1316" s="27" t="str">
        <v/>
      </c>
      <c r="E1316" s="27" t="str">
        <v/>
      </c>
      <c r="F1316" s="27" t="str">
        <v/>
      </c>
      <c r="G1316" s="27" t="str">
        <v/>
      </c>
      <c r="H1316" s="27" t="str">
        <v/>
      </c>
      <c r="I1316" s="27" t="str">
        <v/>
      </c>
    </row>
    <row r="1317" spans="1:9" x14ac:dyDescent="0.2">
      <c r="A1317" s="23" t="str">
        <v/>
      </c>
      <c r="B1317" s="25" t="str">
        <v/>
      </c>
      <c r="C1317" s="27" t="str">
        <v/>
      </c>
      <c r="D1317" s="27" t="str">
        <v/>
      </c>
      <c r="E1317" s="27" t="str">
        <v/>
      </c>
      <c r="F1317" s="27" t="str">
        <v/>
      </c>
      <c r="G1317" s="27" t="str">
        <v/>
      </c>
      <c r="H1317" s="27" t="str">
        <v/>
      </c>
      <c r="I1317" s="27" t="str">
        <v/>
      </c>
    </row>
    <row r="1318" spans="1:9" x14ac:dyDescent="0.2">
      <c r="A1318" s="23" t="str">
        <v/>
      </c>
      <c r="B1318" s="25" t="str">
        <v/>
      </c>
      <c r="C1318" s="27" t="str">
        <v/>
      </c>
      <c r="D1318" s="27" t="str">
        <v/>
      </c>
      <c r="E1318" s="27" t="str">
        <v/>
      </c>
      <c r="F1318" s="27" t="str">
        <v/>
      </c>
      <c r="G1318" s="27" t="str">
        <v/>
      </c>
      <c r="H1318" s="27" t="str">
        <v/>
      </c>
      <c r="I1318" s="27" t="str">
        <v/>
      </c>
    </row>
    <row r="1319" spans="1:9" x14ac:dyDescent="0.2">
      <c r="A1319" s="23" t="str">
        <v/>
      </c>
      <c r="B1319" s="25" t="str">
        <v/>
      </c>
      <c r="C1319" s="27" t="str">
        <v/>
      </c>
      <c r="D1319" s="27" t="str">
        <v/>
      </c>
      <c r="E1319" s="27" t="str">
        <v/>
      </c>
      <c r="F1319" s="27" t="str">
        <v/>
      </c>
      <c r="G1319" s="27" t="str">
        <v/>
      </c>
      <c r="H1319" s="27" t="str">
        <v/>
      </c>
      <c r="I1319" s="27" t="str">
        <v/>
      </c>
    </row>
    <row r="1320" spans="1:9" x14ac:dyDescent="0.2">
      <c r="A1320" s="23" t="str">
        <v/>
      </c>
      <c r="B1320" s="25" t="str">
        <v/>
      </c>
      <c r="C1320" s="27" t="str">
        <v/>
      </c>
      <c r="D1320" s="27" t="str">
        <v/>
      </c>
      <c r="E1320" s="27" t="str">
        <v/>
      </c>
      <c r="F1320" s="27" t="str">
        <v/>
      </c>
      <c r="G1320" s="27" t="str">
        <v/>
      </c>
      <c r="H1320" s="27" t="str">
        <v/>
      </c>
      <c r="I1320" s="27" t="str">
        <v/>
      </c>
    </row>
    <row r="1321" spans="1:9" x14ac:dyDescent="0.2">
      <c r="A1321" s="23" t="str">
        <v/>
      </c>
      <c r="B1321" s="25" t="str">
        <v/>
      </c>
      <c r="C1321" s="27" t="str">
        <v/>
      </c>
      <c r="D1321" s="27" t="str">
        <v/>
      </c>
      <c r="E1321" s="27" t="str">
        <v/>
      </c>
      <c r="F1321" s="27" t="str">
        <v/>
      </c>
      <c r="G1321" s="27" t="str">
        <v/>
      </c>
      <c r="H1321" s="27" t="str">
        <v/>
      </c>
      <c r="I1321" s="27" t="str">
        <v/>
      </c>
    </row>
    <row r="1322" spans="1:9" x14ac:dyDescent="0.2">
      <c r="A1322" s="23" t="str">
        <v/>
      </c>
      <c r="B1322" s="25" t="str">
        <v/>
      </c>
      <c r="C1322" s="27" t="str">
        <v/>
      </c>
      <c r="D1322" s="27" t="str">
        <v/>
      </c>
      <c r="E1322" s="27" t="str">
        <v/>
      </c>
      <c r="F1322" s="27" t="str">
        <v/>
      </c>
      <c r="G1322" s="27" t="str">
        <v/>
      </c>
      <c r="H1322" s="27" t="str">
        <v/>
      </c>
      <c r="I1322" s="27" t="str">
        <v/>
      </c>
    </row>
    <row r="1323" spans="1:9" x14ac:dyDescent="0.2">
      <c r="A1323" s="23" t="str">
        <v/>
      </c>
      <c r="B1323" s="25" t="str">
        <v/>
      </c>
      <c r="C1323" s="27" t="str">
        <v/>
      </c>
      <c r="D1323" s="27" t="str">
        <v/>
      </c>
      <c r="E1323" s="27" t="str">
        <v/>
      </c>
      <c r="F1323" s="27" t="str">
        <v/>
      </c>
      <c r="G1323" s="27" t="str">
        <v/>
      </c>
      <c r="H1323" s="27" t="str">
        <v/>
      </c>
      <c r="I1323" s="27" t="str">
        <v/>
      </c>
    </row>
    <row r="1324" spans="1:9" x14ac:dyDescent="0.2">
      <c r="A1324" s="23" t="str">
        <v/>
      </c>
      <c r="B1324" s="25" t="str">
        <v/>
      </c>
      <c r="C1324" s="27" t="str">
        <v/>
      </c>
      <c r="D1324" s="27" t="str">
        <v/>
      </c>
      <c r="E1324" s="27" t="str">
        <v/>
      </c>
      <c r="F1324" s="27" t="str">
        <v/>
      </c>
      <c r="G1324" s="27" t="str">
        <v/>
      </c>
      <c r="H1324" s="27" t="str">
        <v/>
      </c>
      <c r="I1324" s="27" t="str">
        <v/>
      </c>
    </row>
    <row r="1325" spans="1:9" x14ac:dyDescent="0.2">
      <c r="A1325" s="23" t="str">
        <v/>
      </c>
      <c r="B1325" s="25" t="str">
        <v/>
      </c>
      <c r="C1325" s="27" t="str">
        <v/>
      </c>
      <c r="D1325" s="27" t="str">
        <v/>
      </c>
      <c r="E1325" s="27" t="str">
        <v/>
      </c>
      <c r="F1325" s="27" t="str">
        <v/>
      </c>
      <c r="G1325" s="27" t="str">
        <v/>
      </c>
      <c r="H1325" s="27" t="str">
        <v/>
      </c>
      <c r="I1325" s="27" t="str">
        <v/>
      </c>
    </row>
    <row r="1326" spans="1:9" x14ac:dyDescent="0.2">
      <c r="A1326" s="23" t="str">
        <v/>
      </c>
      <c r="B1326" s="25" t="str">
        <v/>
      </c>
      <c r="C1326" s="27" t="str">
        <v/>
      </c>
      <c r="D1326" s="27" t="str">
        <v/>
      </c>
      <c r="E1326" s="27" t="str">
        <v/>
      </c>
      <c r="F1326" s="27" t="str">
        <v/>
      </c>
      <c r="G1326" s="27" t="str">
        <v/>
      </c>
      <c r="H1326" s="27" t="str">
        <v/>
      </c>
      <c r="I1326" s="27" t="str">
        <v/>
      </c>
    </row>
    <row r="1327" spans="1:9" x14ac:dyDescent="0.2">
      <c r="A1327" s="23" t="str">
        <v/>
      </c>
      <c r="B1327" s="25" t="str">
        <v/>
      </c>
      <c r="C1327" s="27" t="str">
        <v/>
      </c>
      <c r="D1327" s="27" t="str">
        <v/>
      </c>
      <c r="E1327" s="27" t="str">
        <v/>
      </c>
      <c r="F1327" s="27" t="str">
        <v/>
      </c>
      <c r="G1327" s="27" t="str">
        <v/>
      </c>
      <c r="H1327" s="27" t="str">
        <v/>
      </c>
      <c r="I1327" s="27" t="str">
        <v/>
      </c>
    </row>
    <row r="1328" spans="1:9" x14ac:dyDescent="0.2">
      <c r="A1328" s="23" t="str">
        <v/>
      </c>
      <c r="B1328" s="25" t="str">
        <v/>
      </c>
      <c r="C1328" s="27" t="str">
        <v/>
      </c>
      <c r="D1328" s="27" t="str">
        <v/>
      </c>
      <c r="E1328" s="27" t="str">
        <v/>
      </c>
      <c r="F1328" s="27" t="str">
        <v/>
      </c>
      <c r="G1328" s="27" t="str">
        <v/>
      </c>
      <c r="H1328" s="27" t="str">
        <v/>
      </c>
      <c r="I1328" s="27" t="str">
        <v/>
      </c>
    </row>
    <row r="1329" spans="1:9" x14ac:dyDescent="0.2">
      <c r="A1329" s="23" t="str">
        <v/>
      </c>
      <c r="B1329" s="25" t="str">
        <v/>
      </c>
      <c r="C1329" s="27" t="str">
        <v/>
      </c>
      <c r="D1329" s="27" t="str">
        <v/>
      </c>
      <c r="E1329" s="27" t="str">
        <v/>
      </c>
      <c r="F1329" s="27" t="str">
        <v/>
      </c>
      <c r="G1329" s="27" t="str">
        <v/>
      </c>
      <c r="H1329" s="27" t="str">
        <v/>
      </c>
      <c r="I1329" s="27" t="str">
        <v/>
      </c>
    </row>
    <row r="1330" spans="1:9" x14ac:dyDescent="0.2">
      <c r="A1330" s="23" t="str">
        <v/>
      </c>
      <c r="B1330" s="25" t="str">
        <v/>
      </c>
      <c r="C1330" s="27" t="str">
        <v/>
      </c>
      <c r="D1330" s="27" t="str">
        <v/>
      </c>
      <c r="E1330" s="27" t="str">
        <v/>
      </c>
      <c r="F1330" s="27" t="str">
        <v/>
      </c>
      <c r="G1330" s="27" t="str">
        <v/>
      </c>
      <c r="H1330" s="27" t="str">
        <v/>
      </c>
      <c r="I1330" s="27" t="str">
        <v/>
      </c>
    </row>
    <row r="1331" spans="1:9" x14ac:dyDescent="0.2">
      <c r="A1331" s="23" t="str">
        <v/>
      </c>
      <c r="B1331" s="25" t="str">
        <v/>
      </c>
      <c r="C1331" s="27" t="str">
        <v/>
      </c>
      <c r="D1331" s="27" t="str">
        <v/>
      </c>
      <c r="E1331" s="27" t="str">
        <v/>
      </c>
      <c r="F1331" s="27" t="str">
        <v/>
      </c>
      <c r="G1331" s="27" t="str">
        <v/>
      </c>
      <c r="H1331" s="27" t="str">
        <v/>
      </c>
      <c r="I1331" s="27" t="str">
        <v/>
      </c>
    </row>
    <row r="1332" spans="1:9" x14ac:dyDescent="0.2">
      <c r="A1332" s="23" t="str">
        <v/>
      </c>
      <c r="B1332" s="25" t="str">
        <v/>
      </c>
      <c r="C1332" s="27" t="str">
        <v/>
      </c>
      <c r="D1332" s="27" t="str">
        <v/>
      </c>
      <c r="E1332" s="27" t="str">
        <v/>
      </c>
      <c r="F1332" s="27" t="str">
        <v/>
      </c>
      <c r="G1332" s="27" t="str">
        <v/>
      </c>
      <c r="H1332" s="27" t="str">
        <v/>
      </c>
      <c r="I1332" s="27" t="str">
        <v/>
      </c>
    </row>
    <row r="1333" spans="1:9" x14ac:dyDescent="0.2">
      <c r="A1333" s="23" t="str">
        <v/>
      </c>
      <c r="B1333" s="25" t="str">
        <v/>
      </c>
      <c r="C1333" s="27" t="str">
        <v/>
      </c>
      <c r="D1333" s="27" t="str">
        <v/>
      </c>
      <c r="E1333" s="27" t="str">
        <v/>
      </c>
      <c r="F1333" s="27" t="str">
        <v/>
      </c>
      <c r="G1333" s="27" t="str">
        <v/>
      </c>
      <c r="H1333" s="27" t="str">
        <v/>
      </c>
      <c r="I1333" s="27" t="str">
        <v/>
      </c>
    </row>
    <row r="1334" spans="1:9" x14ac:dyDescent="0.2">
      <c r="A1334" s="23" t="str">
        <v/>
      </c>
      <c r="B1334" s="25" t="str">
        <v/>
      </c>
      <c r="C1334" s="27" t="str">
        <v/>
      </c>
      <c r="D1334" s="27" t="str">
        <v/>
      </c>
      <c r="E1334" s="27" t="str">
        <v/>
      </c>
      <c r="F1334" s="27" t="str">
        <v/>
      </c>
      <c r="G1334" s="27" t="str">
        <v/>
      </c>
      <c r="H1334" s="27" t="str">
        <v/>
      </c>
      <c r="I1334" s="27" t="str">
        <v/>
      </c>
    </row>
    <row r="1335" spans="1:9" x14ac:dyDescent="0.2">
      <c r="A1335" s="23" t="str">
        <v/>
      </c>
      <c r="B1335" s="25" t="str">
        <v/>
      </c>
      <c r="C1335" s="27" t="str">
        <v/>
      </c>
      <c r="D1335" s="27" t="str">
        <v/>
      </c>
      <c r="E1335" s="27" t="str">
        <v/>
      </c>
      <c r="F1335" s="27" t="str">
        <v/>
      </c>
      <c r="G1335" s="27" t="str">
        <v/>
      </c>
      <c r="H1335" s="27" t="str">
        <v/>
      </c>
      <c r="I1335" s="27" t="str">
        <v/>
      </c>
    </row>
    <row r="1336" spans="1:9" x14ac:dyDescent="0.2">
      <c r="A1336" s="23" t="str">
        <v/>
      </c>
      <c r="B1336" s="25" t="str">
        <v/>
      </c>
      <c r="C1336" s="27" t="str">
        <v/>
      </c>
      <c r="D1336" s="27" t="str">
        <v/>
      </c>
      <c r="E1336" s="27" t="str">
        <v/>
      </c>
      <c r="F1336" s="27" t="str">
        <v/>
      </c>
      <c r="G1336" s="27" t="str">
        <v/>
      </c>
      <c r="H1336" s="27" t="str">
        <v/>
      </c>
      <c r="I1336" s="27" t="str">
        <v/>
      </c>
    </row>
    <row r="1337" spans="1:9" x14ac:dyDescent="0.2">
      <c r="A1337" s="23" t="str">
        <v/>
      </c>
      <c r="B1337" s="25" t="str">
        <v/>
      </c>
      <c r="C1337" s="27" t="str">
        <v/>
      </c>
      <c r="D1337" s="27" t="str">
        <v/>
      </c>
      <c r="E1337" s="27" t="str">
        <v/>
      </c>
      <c r="F1337" s="27" t="str">
        <v/>
      </c>
      <c r="G1337" s="27" t="str">
        <v/>
      </c>
      <c r="H1337" s="27" t="str">
        <v/>
      </c>
      <c r="I1337" s="27" t="str">
        <v/>
      </c>
    </row>
    <row r="1338" spans="1:9" x14ac:dyDescent="0.2">
      <c r="A1338" s="23" t="str">
        <v/>
      </c>
      <c r="B1338" s="25" t="str">
        <v/>
      </c>
      <c r="C1338" s="27" t="str">
        <v/>
      </c>
      <c r="D1338" s="27" t="str">
        <v/>
      </c>
      <c r="E1338" s="27" t="str">
        <v/>
      </c>
      <c r="F1338" s="27" t="str">
        <v/>
      </c>
      <c r="G1338" s="27" t="str">
        <v/>
      </c>
      <c r="H1338" s="27" t="str">
        <v/>
      </c>
      <c r="I1338" s="27" t="str">
        <v/>
      </c>
    </row>
    <row r="1339" spans="1:9" x14ac:dyDescent="0.2">
      <c r="A1339" s="23" t="str">
        <v/>
      </c>
      <c r="B1339" s="25" t="str">
        <v/>
      </c>
      <c r="C1339" s="27" t="str">
        <v/>
      </c>
      <c r="D1339" s="27" t="str">
        <v/>
      </c>
      <c r="E1339" s="27" t="str">
        <v/>
      </c>
      <c r="F1339" s="27" t="str">
        <v/>
      </c>
      <c r="G1339" s="27" t="str">
        <v/>
      </c>
      <c r="H1339" s="27" t="str">
        <v/>
      </c>
      <c r="I1339" s="27" t="str">
        <v/>
      </c>
    </row>
    <row r="1340" spans="1:9" x14ac:dyDescent="0.2">
      <c r="A1340" s="23" t="str">
        <v/>
      </c>
      <c r="B1340" s="25" t="str">
        <v/>
      </c>
      <c r="C1340" s="27" t="str">
        <v/>
      </c>
      <c r="D1340" s="27" t="str">
        <v/>
      </c>
      <c r="E1340" s="27" t="str">
        <v/>
      </c>
      <c r="F1340" s="27" t="str">
        <v/>
      </c>
      <c r="G1340" s="27" t="str">
        <v/>
      </c>
      <c r="H1340" s="27" t="str">
        <v/>
      </c>
      <c r="I1340" s="27" t="str">
        <v/>
      </c>
    </row>
    <row r="1341" spans="1:9" x14ac:dyDescent="0.2">
      <c r="A1341" s="23" t="str">
        <v/>
      </c>
      <c r="B1341" s="25" t="str">
        <v/>
      </c>
      <c r="C1341" s="27" t="str">
        <v/>
      </c>
      <c r="D1341" s="27" t="str">
        <v/>
      </c>
      <c r="E1341" s="27" t="str">
        <v/>
      </c>
      <c r="F1341" s="27" t="str">
        <v/>
      </c>
      <c r="G1341" s="27" t="str">
        <v/>
      </c>
      <c r="H1341" s="27" t="str">
        <v/>
      </c>
      <c r="I1341" s="27" t="str">
        <v/>
      </c>
    </row>
    <row r="1342" spans="1:9" x14ac:dyDescent="0.2">
      <c r="A1342" s="23" t="str">
        <v/>
      </c>
      <c r="B1342" s="25" t="str">
        <v/>
      </c>
      <c r="C1342" s="27" t="str">
        <v/>
      </c>
      <c r="D1342" s="27" t="str">
        <v/>
      </c>
      <c r="E1342" s="27" t="str">
        <v/>
      </c>
      <c r="F1342" s="27" t="str">
        <v/>
      </c>
      <c r="G1342" s="27" t="str">
        <v/>
      </c>
      <c r="H1342" s="27" t="str">
        <v/>
      </c>
      <c r="I1342" s="27" t="str">
        <v/>
      </c>
    </row>
    <row r="1343" spans="1:9" x14ac:dyDescent="0.2">
      <c r="A1343" s="23" t="str">
        <v/>
      </c>
      <c r="B1343" s="25" t="str">
        <v/>
      </c>
      <c r="C1343" s="27" t="str">
        <v/>
      </c>
      <c r="D1343" s="27" t="str">
        <v/>
      </c>
      <c r="E1343" s="27" t="str">
        <v/>
      </c>
      <c r="F1343" s="27" t="str">
        <v/>
      </c>
      <c r="G1343" s="27" t="str">
        <v/>
      </c>
      <c r="H1343" s="27" t="str">
        <v/>
      </c>
      <c r="I1343" s="27" t="str">
        <v/>
      </c>
    </row>
    <row r="1344" spans="1:9" x14ac:dyDescent="0.2">
      <c r="A1344" s="23" t="str">
        <v/>
      </c>
      <c r="B1344" s="25" t="str">
        <v/>
      </c>
      <c r="C1344" s="27" t="str">
        <v/>
      </c>
      <c r="D1344" s="27" t="str">
        <v/>
      </c>
      <c r="E1344" s="27" t="str">
        <v/>
      </c>
      <c r="F1344" s="27" t="str">
        <v/>
      </c>
      <c r="G1344" s="27" t="str">
        <v/>
      </c>
      <c r="H1344" s="27" t="str">
        <v/>
      </c>
      <c r="I1344" s="27" t="str">
        <v/>
      </c>
    </row>
    <row r="1345" spans="1:9" x14ac:dyDescent="0.2">
      <c r="A1345" s="23" t="str">
        <v/>
      </c>
      <c r="B1345" s="25" t="str">
        <v/>
      </c>
      <c r="C1345" s="27" t="str">
        <v/>
      </c>
      <c r="D1345" s="27" t="str">
        <v/>
      </c>
      <c r="E1345" s="27" t="str">
        <v/>
      </c>
      <c r="F1345" s="27" t="str">
        <v/>
      </c>
      <c r="G1345" s="27" t="str">
        <v/>
      </c>
      <c r="H1345" s="27" t="str">
        <v/>
      </c>
      <c r="I1345" s="27" t="str">
        <v/>
      </c>
    </row>
    <row r="1346" spans="1:9" x14ac:dyDescent="0.2">
      <c r="A1346" s="23" t="str">
        <v/>
      </c>
      <c r="B1346" s="25" t="str">
        <v/>
      </c>
      <c r="C1346" s="27" t="str">
        <v/>
      </c>
      <c r="D1346" s="27" t="str">
        <v/>
      </c>
      <c r="E1346" s="27" t="str">
        <v/>
      </c>
      <c r="F1346" s="27" t="str">
        <v/>
      </c>
      <c r="G1346" s="27" t="str">
        <v/>
      </c>
      <c r="H1346" s="27" t="str">
        <v/>
      </c>
      <c r="I1346" s="27" t="str">
        <v/>
      </c>
    </row>
    <row r="1347" spans="1:9" x14ac:dyDescent="0.2">
      <c r="A1347" s="23" t="str">
        <v/>
      </c>
      <c r="B1347" s="25" t="str">
        <v/>
      </c>
      <c r="C1347" s="27" t="str">
        <v/>
      </c>
      <c r="D1347" s="27" t="str">
        <v/>
      </c>
      <c r="E1347" s="27" t="str">
        <v/>
      </c>
      <c r="F1347" s="27" t="str">
        <v/>
      </c>
      <c r="G1347" s="27" t="str">
        <v/>
      </c>
      <c r="H1347" s="27" t="str">
        <v/>
      </c>
      <c r="I1347" s="27" t="str">
        <v/>
      </c>
    </row>
    <row r="1348" spans="1:9" x14ac:dyDescent="0.2">
      <c r="A1348" s="23" t="str">
        <v/>
      </c>
      <c r="B1348" s="25" t="str">
        <v/>
      </c>
      <c r="C1348" s="27" t="str">
        <v/>
      </c>
      <c r="D1348" s="27" t="str">
        <v/>
      </c>
      <c r="E1348" s="27" t="str">
        <v/>
      </c>
      <c r="F1348" s="27" t="str">
        <v/>
      </c>
      <c r="G1348" s="27" t="str">
        <v/>
      </c>
      <c r="H1348" s="27" t="str">
        <v/>
      </c>
      <c r="I1348" s="27" t="str">
        <v/>
      </c>
    </row>
    <row r="1349" spans="1:9" x14ac:dyDescent="0.2">
      <c r="A1349" s="23" t="str">
        <v/>
      </c>
      <c r="B1349" s="25" t="str">
        <v/>
      </c>
      <c r="C1349" s="27" t="str">
        <v/>
      </c>
      <c r="D1349" s="27" t="str">
        <v/>
      </c>
      <c r="E1349" s="27" t="str">
        <v/>
      </c>
      <c r="F1349" s="27" t="str">
        <v/>
      </c>
      <c r="G1349" s="27" t="str">
        <v/>
      </c>
      <c r="H1349" s="27" t="str">
        <v/>
      </c>
      <c r="I1349" s="27" t="str">
        <v/>
      </c>
    </row>
    <row r="1350" spans="1:9" x14ac:dyDescent="0.2">
      <c r="A1350" s="23" t="str">
        <v/>
      </c>
      <c r="B1350" s="25" t="str">
        <v/>
      </c>
      <c r="C1350" s="27" t="str">
        <v/>
      </c>
      <c r="D1350" s="27" t="str">
        <v/>
      </c>
      <c r="E1350" s="27" t="str">
        <v/>
      </c>
      <c r="F1350" s="27" t="str">
        <v/>
      </c>
      <c r="G1350" s="27" t="str">
        <v/>
      </c>
      <c r="H1350" s="27" t="str">
        <v/>
      </c>
      <c r="I1350" s="27" t="str">
        <v/>
      </c>
    </row>
    <row r="1351" spans="1:9" x14ac:dyDescent="0.2">
      <c r="A1351" s="23" t="str">
        <v/>
      </c>
      <c r="B1351" s="25" t="str">
        <v/>
      </c>
      <c r="C1351" s="27" t="str">
        <v/>
      </c>
      <c r="D1351" s="27" t="str">
        <v/>
      </c>
      <c r="E1351" s="27" t="str">
        <v/>
      </c>
      <c r="F1351" s="27" t="str">
        <v/>
      </c>
      <c r="G1351" s="27" t="str">
        <v/>
      </c>
      <c r="H1351" s="27" t="str">
        <v/>
      </c>
      <c r="I1351" s="27" t="str">
        <v/>
      </c>
    </row>
    <row r="1352" spans="1:9" x14ac:dyDescent="0.2">
      <c r="A1352" s="23" t="str">
        <v/>
      </c>
      <c r="B1352" s="25" t="str">
        <v/>
      </c>
      <c r="C1352" s="27" t="str">
        <v/>
      </c>
      <c r="D1352" s="27" t="str">
        <v/>
      </c>
      <c r="E1352" s="27" t="str">
        <v/>
      </c>
      <c r="F1352" s="27" t="str">
        <v/>
      </c>
      <c r="G1352" s="27" t="str">
        <v/>
      </c>
      <c r="H1352" s="27" t="str">
        <v/>
      </c>
      <c r="I1352" s="27" t="str">
        <v/>
      </c>
    </row>
    <row r="1353" spans="1:9" x14ac:dyDescent="0.2">
      <c r="A1353" s="23" t="str">
        <v/>
      </c>
      <c r="B1353" s="25" t="str">
        <v/>
      </c>
      <c r="C1353" s="27" t="str">
        <v/>
      </c>
      <c r="D1353" s="27" t="str">
        <v/>
      </c>
      <c r="E1353" s="27" t="str">
        <v/>
      </c>
      <c r="F1353" s="27" t="str">
        <v/>
      </c>
      <c r="G1353" s="27" t="str">
        <v/>
      </c>
      <c r="H1353" s="27" t="str">
        <v/>
      </c>
      <c r="I1353" s="27" t="str">
        <v/>
      </c>
    </row>
    <row r="1354" spans="1:9" x14ac:dyDescent="0.2">
      <c r="A1354" s="23" t="str">
        <v/>
      </c>
      <c r="B1354" s="25" t="str">
        <v/>
      </c>
      <c r="C1354" s="27" t="str">
        <v/>
      </c>
      <c r="D1354" s="27" t="str">
        <v/>
      </c>
      <c r="E1354" s="27" t="str">
        <v/>
      </c>
      <c r="F1354" s="27" t="str">
        <v/>
      </c>
      <c r="G1354" s="27" t="str">
        <v/>
      </c>
      <c r="H1354" s="27" t="str">
        <v/>
      </c>
      <c r="I1354" s="27" t="str">
        <v/>
      </c>
    </row>
    <row r="1355" spans="1:9" x14ac:dyDescent="0.2">
      <c r="A1355" s="23" t="str">
        <v/>
      </c>
      <c r="B1355" s="25" t="str">
        <v/>
      </c>
      <c r="C1355" s="27" t="str">
        <v/>
      </c>
      <c r="D1355" s="27" t="str">
        <v/>
      </c>
      <c r="E1355" s="27" t="str">
        <v/>
      </c>
      <c r="F1355" s="27" t="str">
        <v/>
      </c>
      <c r="G1355" s="27" t="str">
        <v/>
      </c>
      <c r="H1355" s="27" t="str">
        <v/>
      </c>
      <c r="I1355" s="27" t="str">
        <v/>
      </c>
    </row>
    <row r="1356" spans="1:9" x14ac:dyDescent="0.2">
      <c r="A1356" s="23" t="str">
        <v/>
      </c>
      <c r="B1356" s="25" t="str">
        <v/>
      </c>
      <c r="C1356" s="27" t="str">
        <v/>
      </c>
      <c r="D1356" s="27" t="str">
        <v/>
      </c>
      <c r="E1356" s="27" t="str">
        <v/>
      </c>
      <c r="F1356" s="27" t="str">
        <v/>
      </c>
      <c r="G1356" s="27" t="str">
        <v/>
      </c>
      <c r="H1356" s="27" t="str">
        <v/>
      </c>
      <c r="I1356" s="27" t="str">
        <v/>
      </c>
    </row>
    <row r="1357" spans="1:9" x14ac:dyDescent="0.2">
      <c r="A1357" s="23" t="str">
        <v/>
      </c>
      <c r="B1357" s="25" t="str">
        <v/>
      </c>
      <c r="C1357" s="27" t="str">
        <v/>
      </c>
      <c r="D1357" s="27" t="str">
        <v/>
      </c>
      <c r="E1357" s="27" t="str">
        <v/>
      </c>
      <c r="F1357" s="27" t="str">
        <v/>
      </c>
      <c r="G1357" s="27" t="str">
        <v/>
      </c>
      <c r="H1357" s="27" t="str">
        <v/>
      </c>
      <c r="I1357" s="27" t="str">
        <v/>
      </c>
    </row>
    <row r="1358" spans="1:9" x14ac:dyDescent="0.2">
      <c r="A1358" s="23" t="str">
        <v/>
      </c>
      <c r="B1358" s="25" t="str">
        <v/>
      </c>
      <c r="C1358" s="27" t="str">
        <v/>
      </c>
      <c r="D1358" s="27" t="str">
        <v/>
      </c>
      <c r="E1358" s="27" t="str">
        <v/>
      </c>
      <c r="F1358" s="27" t="str">
        <v/>
      </c>
      <c r="G1358" s="27" t="str">
        <v/>
      </c>
      <c r="H1358" s="27" t="str">
        <v/>
      </c>
      <c r="I1358" s="27" t="str">
        <v/>
      </c>
    </row>
    <row r="1359" spans="1:9" x14ac:dyDescent="0.2">
      <c r="A1359" s="23" t="str">
        <v/>
      </c>
      <c r="B1359" s="25" t="str">
        <v/>
      </c>
      <c r="C1359" s="27" t="str">
        <v/>
      </c>
      <c r="D1359" s="27" t="str">
        <v/>
      </c>
      <c r="E1359" s="27" t="str">
        <v/>
      </c>
      <c r="F1359" s="27" t="str">
        <v/>
      </c>
      <c r="G1359" s="27" t="str">
        <v/>
      </c>
      <c r="H1359" s="27" t="str">
        <v/>
      </c>
      <c r="I1359" s="27" t="str">
        <v/>
      </c>
    </row>
    <row r="1360" spans="1:9" x14ac:dyDescent="0.2">
      <c r="A1360" s="23" t="str">
        <v/>
      </c>
      <c r="B1360" s="25" t="str">
        <v/>
      </c>
      <c r="C1360" s="27" t="str">
        <v/>
      </c>
      <c r="D1360" s="27" t="str">
        <v/>
      </c>
      <c r="E1360" s="27" t="str">
        <v/>
      </c>
      <c r="F1360" s="27" t="str">
        <v/>
      </c>
      <c r="G1360" s="27" t="str">
        <v/>
      </c>
      <c r="H1360" s="27" t="str">
        <v/>
      </c>
      <c r="I1360" s="27" t="str">
        <v/>
      </c>
    </row>
    <row r="1361" spans="1:9" x14ac:dyDescent="0.2">
      <c r="A1361" s="23" t="str">
        <v/>
      </c>
      <c r="B1361" s="25" t="str">
        <v/>
      </c>
      <c r="C1361" s="27" t="str">
        <v/>
      </c>
      <c r="D1361" s="27" t="str">
        <v/>
      </c>
      <c r="E1361" s="27" t="str">
        <v/>
      </c>
      <c r="F1361" s="27" t="str">
        <v/>
      </c>
      <c r="G1361" s="27" t="str">
        <v/>
      </c>
      <c r="H1361" s="27" t="str">
        <v/>
      </c>
      <c r="I1361" s="27" t="str">
        <v/>
      </c>
    </row>
    <row r="1362" spans="1:9" x14ac:dyDescent="0.2">
      <c r="A1362" s="23" t="str">
        <v/>
      </c>
      <c r="B1362" s="25" t="str">
        <v/>
      </c>
      <c r="C1362" s="27" t="str">
        <v/>
      </c>
      <c r="D1362" s="27" t="str">
        <v/>
      </c>
      <c r="E1362" s="27" t="str">
        <v/>
      </c>
      <c r="F1362" s="27" t="str">
        <v/>
      </c>
      <c r="G1362" s="27" t="str">
        <v/>
      </c>
      <c r="H1362" s="27" t="str">
        <v/>
      </c>
      <c r="I1362" s="27" t="str">
        <v/>
      </c>
    </row>
    <row r="1363" spans="1:9" x14ac:dyDescent="0.2">
      <c r="A1363" s="23" t="str">
        <v/>
      </c>
      <c r="B1363" s="25" t="str">
        <v/>
      </c>
      <c r="C1363" s="27" t="str">
        <v/>
      </c>
      <c r="D1363" s="27" t="str">
        <v/>
      </c>
      <c r="E1363" s="27" t="str">
        <v/>
      </c>
      <c r="F1363" s="27" t="str">
        <v/>
      </c>
      <c r="G1363" s="27" t="str">
        <v/>
      </c>
      <c r="H1363" s="27" t="str">
        <v/>
      </c>
      <c r="I1363" s="27" t="str">
        <v/>
      </c>
    </row>
    <row r="1364" spans="1:9" x14ac:dyDescent="0.2">
      <c r="A1364" s="23" t="str">
        <v/>
      </c>
      <c r="B1364" s="25" t="str">
        <v/>
      </c>
      <c r="C1364" s="27" t="str">
        <v/>
      </c>
      <c r="D1364" s="27" t="str">
        <v/>
      </c>
      <c r="E1364" s="27" t="str">
        <v/>
      </c>
      <c r="F1364" s="27" t="str">
        <v/>
      </c>
      <c r="G1364" s="27" t="str">
        <v/>
      </c>
      <c r="H1364" s="27" t="str">
        <v/>
      </c>
      <c r="I1364" s="27" t="str">
        <v/>
      </c>
    </row>
    <row r="1365" spans="1:9" x14ac:dyDescent="0.2">
      <c r="A1365" s="23" t="str">
        <v/>
      </c>
      <c r="B1365" s="25" t="str">
        <v/>
      </c>
      <c r="C1365" s="27" t="str">
        <v/>
      </c>
      <c r="D1365" s="27" t="str">
        <v/>
      </c>
      <c r="E1365" s="27" t="str">
        <v/>
      </c>
      <c r="F1365" s="27" t="str">
        <v/>
      </c>
      <c r="G1365" s="27" t="str">
        <v/>
      </c>
      <c r="H1365" s="27" t="str">
        <v/>
      </c>
      <c r="I1365" s="27" t="str">
        <v/>
      </c>
    </row>
    <row r="1366" spans="1:9" x14ac:dyDescent="0.2">
      <c r="A1366" s="23" t="str">
        <v/>
      </c>
      <c r="B1366" s="25" t="str">
        <v/>
      </c>
      <c r="C1366" s="27" t="str">
        <v/>
      </c>
      <c r="D1366" s="27" t="str">
        <v/>
      </c>
      <c r="E1366" s="27" t="str">
        <v/>
      </c>
      <c r="F1366" s="27" t="str">
        <v/>
      </c>
      <c r="G1366" s="27" t="str">
        <v/>
      </c>
      <c r="H1366" s="27" t="str">
        <v/>
      </c>
      <c r="I1366" s="27" t="str">
        <v/>
      </c>
    </row>
    <row r="1367" spans="1:9" x14ac:dyDescent="0.2">
      <c r="A1367" s="23" t="str">
        <v/>
      </c>
      <c r="B1367" s="25" t="str">
        <v/>
      </c>
      <c r="C1367" s="27" t="str">
        <v/>
      </c>
      <c r="D1367" s="27" t="str">
        <v/>
      </c>
      <c r="E1367" s="27" t="str">
        <v/>
      </c>
      <c r="F1367" s="27" t="str">
        <v/>
      </c>
      <c r="G1367" s="27" t="str">
        <v/>
      </c>
      <c r="H1367" s="27" t="str">
        <v/>
      </c>
      <c r="I1367" s="27" t="str">
        <v/>
      </c>
    </row>
    <row r="1368" spans="1:9" x14ac:dyDescent="0.2">
      <c r="A1368" s="23" t="str">
        <v/>
      </c>
      <c r="B1368" s="25" t="str">
        <v/>
      </c>
      <c r="C1368" s="27" t="str">
        <v/>
      </c>
      <c r="D1368" s="27" t="str">
        <v/>
      </c>
      <c r="E1368" s="27" t="str">
        <v/>
      </c>
      <c r="F1368" s="27" t="str">
        <v/>
      </c>
      <c r="G1368" s="27" t="str">
        <v/>
      </c>
      <c r="H1368" s="27" t="str">
        <v/>
      </c>
      <c r="I1368" s="27" t="str">
        <v/>
      </c>
    </row>
    <row r="1369" spans="1:9" x14ac:dyDescent="0.2">
      <c r="A1369" s="23" t="str">
        <v/>
      </c>
      <c r="B1369" s="25" t="str">
        <v/>
      </c>
      <c r="C1369" s="27" t="str">
        <v/>
      </c>
      <c r="D1369" s="27" t="str">
        <v/>
      </c>
      <c r="E1369" s="27" t="str">
        <v/>
      </c>
      <c r="F1369" s="27" t="str">
        <v/>
      </c>
      <c r="G1369" s="27" t="str">
        <v/>
      </c>
      <c r="H1369" s="27" t="str">
        <v/>
      </c>
      <c r="I1369" s="27" t="str">
        <v/>
      </c>
    </row>
    <row r="1370" spans="1:9" x14ac:dyDescent="0.2">
      <c r="A1370" s="23" t="str">
        <v/>
      </c>
      <c r="B1370" s="25" t="str">
        <v/>
      </c>
      <c r="C1370" s="27" t="str">
        <v/>
      </c>
      <c r="D1370" s="27" t="str">
        <v/>
      </c>
      <c r="E1370" s="27" t="str">
        <v/>
      </c>
      <c r="F1370" s="27" t="str">
        <v/>
      </c>
      <c r="G1370" s="27" t="str">
        <v/>
      </c>
      <c r="H1370" s="27" t="str">
        <v/>
      </c>
      <c r="I1370" s="27" t="str">
        <v/>
      </c>
    </row>
    <row r="1371" spans="1:9" x14ac:dyDescent="0.2">
      <c r="A1371" s="23" t="str">
        <v/>
      </c>
      <c r="B1371" s="25" t="str">
        <v/>
      </c>
      <c r="C1371" s="27" t="str">
        <v/>
      </c>
      <c r="D1371" s="27" t="str">
        <v/>
      </c>
      <c r="E1371" s="27" t="str">
        <v/>
      </c>
      <c r="F1371" s="27" t="str">
        <v/>
      </c>
      <c r="G1371" s="27" t="str">
        <v/>
      </c>
      <c r="H1371" s="27" t="str">
        <v/>
      </c>
      <c r="I1371" s="27" t="str">
        <v/>
      </c>
    </row>
    <row r="1372" spans="1:9" x14ac:dyDescent="0.2">
      <c r="A1372" s="23" t="str">
        <v/>
      </c>
      <c r="B1372" s="25" t="str">
        <v/>
      </c>
      <c r="C1372" s="27" t="str">
        <v/>
      </c>
      <c r="D1372" s="27" t="str">
        <v/>
      </c>
      <c r="E1372" s="27" t="str">
        <v/>
      </c>
      <c r="F1372" s="27" t="str">
        <v/>
      </c>
      <c r="G1372" s="27" t="str">
        <v/>
      </c>
      <c r="H1372" s="27" t="str">
        <v/>
      </c>
      <c r="I1372" s="27" t="str">
        <v/>
      </c>
    </row>
    <row r="1373" spans="1:9" x14ac:dyDescent="0.2">
      <c r="A1373" s="23" t="str">
        <v/>
      </c>
      <c r="B1373" s="25" t="str">
        <v/>
      </c>
      <c r="C1373" s="27" t="str">
        <v/>
      </c>
      <c r="D1373" s="27" t="str">
        <v/>
      </c>
      <c r="E1373" s="27" t="str">
        <v/>
      </c>
      <c r="F1373" s="27" t="str">
        <v/>
      </c>
      <c r="G1373" s="27" t="str">
        <v/>
      </c>
      <c r="H1373" s="27" t="str">
        <v/>
      </c>
      <c r="I1373" s="27" t="str">
        <v/>
      </c>
    </row>
    <row r="1374" spans="1:9" x14ac:dyDescent="0.2">
      <c r="A1374" s="23" t="str">
        <v/>
      </c>
      <c r="B1374" s="25" t="str">
        <v/>
      </c>
      <c r="C1374" s="27" t="str">
        <v/>
      </c>
      <c r="D1374" s="27" t="str">
        <v/>
      </c>
      <c r="E1374" s="27" t="str">
        <v/>
      </c>
      <c r="F1374" s="27" t="str">
        <v/>
      </c>
      <c r="G1374" s="27" t="str">
        <v/>
      </c>
      <c r="H1374" s="27" t="str">
        <v/>
      </c>
      <c r="I1374" s="27" t="str">
        <v/>
      </c>
    </row>
    <row r="1375" spans="1:9" x14ac:dyDescent="0.2">
      <c r="A1375" s="23" t="str">
        <v/>
      </c>
      <c r="B1375" s="25" t="str">
        <v/>
      </c>
      <c r="C1375" s="27" t="str">
        <v/>
      </c>
      <c r="D1375" s="27" t="str">
        <v/>
      </c>
      <c r="E1375" s="27" t="str">
        <v/>
      </c>
      <c r="F1375" s="27" t="str">
        <v/>
      </c>
      <c r="G1375" s="27" t="str">
        <v/>
      </c>
      <c r="H1375" s="27" t="str">
        <v/>
      </c>
      <c r="I1375" s="27" t="str">
        <v/>
      </c>
    </row>
    <row r="1376" spans="1:9" x14ac:dyDescent="0.2">
      <c r="A1376" s="23" t="str">
        <v/>
      </c>
      <c r="B1376" s="25" t="str">
        <v/>
      </c>
      <c r="C1376" s="27" t="str">
        <v/>
      </c>
      <c r="D1376" s="27" t="str">
        <v/>
      </c>
      <c r="E1376" s="27" t="str">
        <v/>
      </c>
      <c r="F1376" s="27" t="str">
        <v/>
      </c>
      <c r="G1376" s="27" t="str">
        <v/>
      </c>
      <c r="H1376" s="27" t="str">
        <v/>
      </c>
      <c r="I1376" s="27" t="str">
        <v/>
      </c>
    </row>
    <row r="1377" spans="1:9" x14ac:dyDescent="0.2">
      <c r="A1377" s="23" t="str">
        <v/>
      </c>
      <c r="B1377" s="25" t="str">
        <v/>
      </c>
      <c r="C1377" s="27" t="str">
        <v/>
      </c>
      <c r="D1377" s="27" t="str">
        <v/>
      </c>
      <c r="E1377" s="27" t="str">
        <v/>
      </c>
      <c r="F1377" s="27" t="str">
        <v/>
      </c>
      <c r="G1377" s="27" t="str">
        <v/>
      </c>
      <c r="H1377" s="27" t="str">
        <v/>
      </c>
      <c r="I1377" s="27" t="str">
        <v/>
      </c>
    </row>
    <row r="1378" spans="1:9" x14ac:dyDescent="0.2">
      <c r="A1378" s="23" t="str">
        <v/>
      </c>
      <c r="B1378" s="25" t="str">
        <v/>
      </c>
      <c r="C1378" s="27" t="str">
        <v/>
      </c>
      <c r="D1378" s="27" t="str">
        <v/>
      </c>
      <c r="E1378" s="27" t="str">
        <v/>
      </c>
      <c r="F1378" s="27" t="str">
        <v/>
      </c>
      <c r="G1378" s="27" t="str">
        <v/>
      </c>
      <c r="H1378" s="27" t="str">
        <v/>
      </c>
      <c r="I1378" s="27" t="str">
        <v/>
      </c>
    </row>
    <row r="1379" spans="1:9" x14ac:dyDescent="0.2">
      <c r="A1379" s="23" t="str">
        <v/>
      </c>
      <c r="B1379" s="25" t="str">
        <v/>
      </c>
      <c r="C1379" s="27" t="str">
        <v/>
      </c>
      <c r="D1379" s="27" t="str">
        <v/>
      </c>
      <c r="E1379" s="27" t="str">
        <v/>
      </c>
      <c r="F1379" s="27" t="str">
        <v/>
      </c>
      <c r="G1379" s="27" t="str">
        <v/>
      </c>
      <c r="H1379" s="27" t="str">
        <v/>
      </c>
      <c r="I1379" s="27" t="str">
        <v/>
      </c>
    </row>
    <row r="1380" spans="1:9" x14ac:dyDescent="0.2">
      <c r="A1380" s="23" t="str">
        <v/>
      </c>
      <c r="B1380" s="25" t="str">
        <v/>
      </c>
      <c r="C1380" s="27" t="str">
        <v/>
      </c>
      <c r="D1380" s="27" t="str">
        <v/>
      </c>
      <c r="E1380" s="27" t="str">
        <v/>
      </c>
      <c r="F1380" s="27" t="str">
        <v/>
      </c>
      <c r="G1380" s="27" t="str">
        <v/>
      </c>
      <c r="H1380" s="27" t="str">
        <v/>
      </c>
      <c r="I1380" s="27" t="str">
        <v/>
      </c>
    </row>
    <row r="1381" spans="1:9" x14ac:dyDescent="0.2">
      <c r="A1381" s="23" t="str">
        <v/>
      </c>
      <c r="B1381" s="25" t="str">
        <v/>
      </c>
      <c r="C1381" s="27" t="str">
        <v/>
      </c>
      <c r="D1381" s="27" t="str">
        <v/>
      </c>
      <c r="E1381" s="27" t="str">
        <v/>
      </c>
      <c r="F1381" s="27" t="str">
        <v/>
      </c>
      <c r="G1381" s="27" t="str">
        <v/>
      </c>
      <c r="H1381" s="27" t="str">
        <v/>
      </c>
      <c r="I1381" s="27" t="str">
        <v/>
      </c>
    </row>
    <row r="1382" spans="1:9" x14ac:dyDescent="0.2">
      <c r="A1382" s="23" t="str">
        <v/>
      </c>
      <c r="B1382" s="25" t="str">
        <v/>
      </c>
      <c r="C1382" s="27" t="str">
        <v/>
      </c>
      <c r="D1382" s="27" t="str">
        <v/>
      </c>
      <c r="E1382" s="27" t="str">
        <v/>
      </c>
      <c r="F1382" s="27" t="str">
        <v/>
      </c>
      <c r="G1382" s="27" t="str">
        <v/>
      </c>
      <c r="H1382" s="27" t="str">
        <v/>
      </c>
      <c r="I1382" s="27" t="str">
        <v/>
      </c>
    </row>
    <row r="1383" spans="1:9" x14ac:dyDescent="0.2">
      <c r="A1383" s="23" t="str">
        <v/>
      </c>
      <c r="B1383" s="25" t="str">
        <v/>
      </c>
      <c r="C1383" s="27" t="str">
        <v/>
      </c>
      <c r="D1383" s="27" t="str">
        <v/>
      </c>
      <c r="E1383" s="27" t="str">
        <v/>
      </c>
      <c r="F1383" s="27" t="str">
        <v/>
      </c>
      <c r="G1383" s="27" t="str">
        <v/>
      </c>
      <c r="H1383" s="27" t="str">
        <v/>
      </c>
      <c r="I1383" s="27" t="str">
        <v/>
      </c>
    </row>
    <row r="1384" spans="1:9" x14ac:dyDescent="0.2">
      <c r="A1384" s="23" t="str">
        <v/>
      </c>
      <c r="B1384" s="25" t="str">
        <v/>
      </c>
      <c r="C1384" s="27" t="str">
        <v/>
      </c>
      <c r="D1384" s="27" t="str">
        <v/>
      </c>
      <c r="E1384" s="27" t="str">
        <v/>
      </c>
      <c r="F1384" s="27" t="str">
        <v/>
      </c>
      <c r="G1384" s="27" t="str">
        <v/>
      </c>
      <c r="H1384" s="27" t="str">
        <v/>
      </c>
      <c r="I1384" s="27" t="str">
        <v/>
      </c>
    </row>
    <row r="1385" spans="1:9" x14ac:dyDescent="0.2">
      <c r="A1385" s="23" t="str">
        <v/>
      </c>
      <c r="B1385" s="25" t="str">
        <v/>
      </c>
      <c r="C1385" s="27" t="str">
        <v/>
      </c>
      <c r="D1385" s="27" t="str">
        <v/>
      </c>
      <c r="E1385" s="27" t="str">
        <v/>
      </c>
      <c r="F1385" s="27" t="str">
        <v/>
      </c>
      <c r="G1385" s="27" t="str">
        <v/>
      </c>
      <c r="H1385" s="27" t="str">
        <v/>
      </c>
      <c r="I1385" s="27" t="str">
        <v/>
      </c>
    </row>
    <row r="1386" spans="1:9" x14ac:dyDescent="0.2">
      <c r="A1386" s="23" t="str">
        <v/>
      </c>
      <c r="B1386" s="25" t="str">
        <v/>
      </c>
      <c r="C1386" s="27" t="str">
        <v/>
      </c>
      <c r="D1386" s="27" t="str">
        <v/>
      </c>
      <c r="E1386" s="27" t="str">
        <v/>
      </c>
      <c r="F1386" s="27" t="str">
        <v/>
      </c>
      <c r="G1386" s="27" t="str">
        <v/>
      </c>
      <c r="H1386" s="27" t="str">
        <v/>
      </c>
      <c r="I1386" s="27" t="str">
        <v/>
      </c>
    </row>
    <row r="1387" spans="1:9" x14ac:dyDescent="0.2">
      <c r="A1387" s="23" t="str">
        <v/>
      </c>
      <c r="B1387" s="25" t="str">
        <v/>
      </c>
      <c r="C1387" s="27" t="str">
        <v/>
      </c>
      <c r="D1387" s="27" t="str">
        <v/>
      </c>
      <c r="E1387" s="27" t="str">
        <v/>
      </c>
      <c r="F1387" s="27" t="str">
        <v/>
      </c>
      <c r="G1387" s="27" t="str">
        <v/>
      </c>
      <c r="H1387" s="27" t="str">
        <v/>
      </c>
      <c r="I1387" s="27" t="str">
        <v/>
      </c>
    </row>
    <row r="1388" spans="1:9" x14ac:dyDescent="0.2">
      <c r="A1388" s="23" t="str">
        <v/>
      </c>
      <c r="B1388" s="25" t="str">
        <v/>
      </c>
      <c r="C1388" s="27" t="str">
        <v/>
      </c>
      <c r="D1388" s="27" t="str">
        <v/>
      </c>
      <c r="E1388" s="27" t="str">
        <v/>
      </c>
      <c r="F1388" s="27" t="str">
        <v/>
      </c>
      <c r="G1388" s="27" t="str">
        <v/>
      </c>
      <c r="H1388" s="27" t="str">
        <v/>
      </c>
      <c r="I1388" s="27" t="str">
        <v/>
      </c>
    </row>
    <row r="1389" spans="1:9" x14ac:dyDescent="0.2">
      <c r="A1389" s="23" t="str">
        <v/>
      </c>
      <c r="B1389" s="25" t="str">
        <v/>
      </c>
      <c r="C1389" s="27" t="str">
        <v/>
      </c>
      <c r="D1389" s="27" t="str">
        <v/>
      </c>
      <c r="E1389" s="27" t="str">
        <v/>
      </c>
      <c r="F1389" s="27" t="str">
        <v/>
      </c>
      <c r="G1389" s="27" t="str">
        <v/>
      </c>
      <c r="H1389" s="27" t="str">
        <v/>
      </c>
      <c r="I1389" s="27" t="str">
        <v/>
      </c>
    </row>
    <row r="1390" spans="1:9" x14ac:dyDescent="0.2">
      <c r="A1390" s="23" t="str">
        <v/>
      </c>
      <c r="B1390" s="25" t="str">
        <v/>
      </c>
      <c r="C1390" s="27" t="str">
        <v/>
      </c>
      <c r="D1390" s="27" t="str">
        <v/>
      </c>
      <c r="E1390" s="27" t="str">
        <v/>
      </c>
      <c r="F1390" s="27" t="str">
        <v/>
      </c>
      <c r="G1390" s="27" t="str">
        <v/>
      </c>
      <c r="H1390" s="27" t="str">
        <v/>
      </c>
      <c r="I1390" s="27" t="str">
        <v/>
      </c>
    </row>
    <row r="1391" spans="1:9" x14ac:dyDescent="0.2">
      <c r="A1391" s="23" t="str">
        <v/>
      </c>
      <c r="B1391" s="25" t="str">
        <v/>
      </c>
      <c r="C1391" s="27" t="str">
        <v/>
      </c>
      <c r="D1391" s="27" t="str">
        <v/>
      </c>
      <c r="E1391" s="27" t="str">
        <v/>
      </c>
      <c r="F1391" s="27" t="str">
        <v/>
      </c>
      <c r="G1391" s="27" t="str">
        <v/>
      </c>
      <c r="H1391" s="27" t="str">
        <v/>
      </c>
      <c r="I1391" s="27" t="str">
        <v/>
      </c>
    </row>
    <row r="1392" spans="1:9" x14ac:dyDescent="0.2">
      <c r="A1392" s="23" t="str">
        <v/>
      </c>
      <c r="B1392" s="25" t="str">
        <v/>
      </c>
      <c r="C1392" s="27" t="str">
        <v/>
      </c>
      <c r="D1392" s="27" t="str">
        <v/>
      </c>
      <c r="E1392" s="27" t="str">
        <v/>
      </c>
      <c r="F1392" s="27" t="str">
        <v/>
      </c>
      <c r="G1392" s="27" t="str">
        <v/>
      </c>
      <c r="H1392" s="27" t="str">
        <v/>
      </c>
      <c r="I1392" s="27" t="str">
        <v/>
      </c>
    </row>
    <row r="1393" spans="1:9" x14ac:dyDescent="0.2">
      <c r="A1393" s="23" t="str">
        <v/>
      </c>
      <c r="B1393" s="25" t="str">
        <v/>
      </c>
      <c r="C1393" s="27" t="str">
        <v/>
      </c>
      <c r="D1393" s="27" t="str">
        <v/>
      </c>
      <c r="E1393" s="27" t="str">
        <v/>
      </c>
      <c r="F1393" s="27" t="str">
        <v/>
      </c>
      <c r="G1393" s="27" t="str">
        <v/>
      </c>
      <c r="H1393" s="27" t="str">
        <v/>
      </c>
      <c r="I1393" s="27" t="str">
        <v/>
      </c>
    </row>
    <row r="1394" spans="1:9" x14ac:dyDescent="0.2">
      <c r="A1394" s="23" t="str">
        <v/>
      </c>
      <c r="B1394" s="25" t="str">
        <v/>
      </c>
      <c r="C1394" s="27" t="str">
        <v/>
      </c>
      <c r="D1394" s="27" t="str">
        <v/>
      </c>
      <c r="E1394" s="27" t="str">
        <v/>
      </c>
      <c r="F1394" s="27" t="str">
        <v/>
      </c>
      <c r="G1394" s="27" t="str">
        <v/>
      </c>
      <c r="H1394" s="27" t="str">
        <v/>
      </c>
      <c r="I1394" s="27" t="str">
        <v/>
      </c>
    </row>
    <row r="1395" spans="1:9" x14ac:dyDescent="0.2">
      <c r="A1395" s="23" t="str">
        <v/>
      </c>
      <c r="B1395" s="25" t="str">
        <v/>
      </c>
      <c r="C1395" s="27" t="str">
        <v/>
      </c>
      <c r="D1395" s="27" t="str">
        <v/>
      </c>
      <c r="E1395" s="27" t="str">
        <v/>
      </c>
      <c r="F1395" s="27" t="str">
        <v/>
      </c>
      <c r="G1395" s="27" t="str">
        <v/>
      </c>
      <c r="H1395" s="27" t="str">
        <v/>
      </c>
      <c r="I1395" s="27" t="str">
        <v/>
      </c>
    </row>
    <row r="1396" spans="1:9" x14ac:dyDescent="0.2">
      <c r="A1396" s="23" t="str">
        <v/>
      </c>
      <c r="B1396" s="25" t="str">
        <v/>
      </c>
      <c r="C1396" s="27" t="str">
        <v/>
      </c>
      <c r="D1396" s="27" t="str">
        <v/>
      </c>
      <c r="E1396" s="27" t="str">
        <v/>
      </c>
      <c r="F1396" s="27" t="str">
        <v/>
      </c>
      <c r="G1396" s="27" t="str">
        <v/>
      </c>
      <c r="H1396" s="27" t="str">
        <v/>
      </c>
      <c r="I1396" s="27" t="str">
        <v/>
      </c>
    </row>
    <row r="1397" spans="1:9" x14ac:dyDescent="0.2">
      <c r="A1397" s="23" t="str">
        <v/>
      </c>
      <c r="B1397" s="25" t="str">
        <v/>
      </c>
      <c r="C1397" s="27" t="str">
        <v/>
      </c>
      <c r="D1397" s="27" t="str">
        <v/>
      </c>
      <c r="E1397" s="27" t="str">
        <v/>
      </c>
      <c r="F1397" s="27" t="str">
        <v/>
      </c>
      <c r="G1397" s="27" t="str">
        <v/>
      </c>
      <c r="H1397" s="27" t="str">
        <v/>
      </c>
      <c r="I1397" s="27" t="str">
        <v/>
      </c>
    </row>
    <row r="1398" spans="1:9" x14ac:dyDescent="0.2">
      <c r="A1398" s="23" t="str">
        <v/>
      </c>
      <c r="B1398" s="25" t="str">
        <v/>
      </c>
      <c r="C1398" s="27" t="str">
        <v/>
      </c>
      <c r="D1398" s="27" t="str">
        <v/>
      </c>
      <c r="E1398" s="27" t="str">
        <v/>
      </c>
      <c r="F1398" s="27" t="str">
        <v/>
      </c>
      <c r="G1398" s="27" t="str">
        <v/>
      </c>
      <c r="H1398" s="27" t="str">
        <v/>
      </c>
      <c r="I1398" s="27" t="str">
        <v/>
      </c>
    </row>
    <row r="1399" spans="1:9" x14ac:dyDescent="0.2">
      <c r="A1399" s="23" t="str">
        <v/>
      </c>
      <c r="B1399" s="25" t="str">
        <v/>
      </c>
      <c r="C1399" s="27" t="str">
        <v/>
      </c>
      <c r="D1399" s="27" t="str">
        <v/>
      </c>
      <c r="E1399" s="27" t="str">
        <v/>
      </c>
      <c r="F1399" s="27" t="str">
        <v/>
      </c>
      <c r="G1399" s="27" t="str">
        <v/>
      </c>
      <c r="H1399" s="27" t="str">
        <v/>
      </c>
      <c r="I1399" s="27" t="str">
        <v/>
      </c>
    </row>
    <row r="1400" spans="1:9" x14ac:dyDescent="0.2">
      <c r="A1400" s="23" t="str">
        <v/>
      </c>
      <c r="B1400" s="25" t="str">
        <v/>
      </c>
      <c r="C1400" s="27" t="str">
        <v/>
      </c>
      <c r="D1400" s="27" t="str">
        <v/>
      </c>
      <c r="E1400" s="27" t="str">
        <v/>
      </c>
      <c r="F1400" s="27" t="str">
        <v/>
      </c>
      <c r="G1400" s="27" t="str">
        <v/>
      </c>
      <c r="H1400" s="27" t="str">
        <v/>
      </c>
      <c r="I1400" s="27" t="str">
        <v/>
      </c>
    </row>
    <row r="1401" spans="1:9" x14ac:dyDescent="0.2">
      <c r="A1401" s="23" t="str">
        <v/>
      </c>
      <c r="B1401" s="25" t="str">
        <v/>
      </c>
      <c r="C1401" s="27" t="str">
        <v/>
      </c>
      <c r="D1401" s="27" t="str">
        <v/>
      </c>
      <c r="E1401" s="27" t="str">
        <v/>
      </c>
      <c r="F1401" s="27" t="str">
        <v/>
      </c>
      <c r="G1401" s="27" t="str">
        <v/>
      </c>
      <c r="H1401" s="27" t="str">
        <v/>
      </c>
      <c r="I1401" s="27" t="str">
        <v/>
      </c>
    </row>
    <row r="1402" spans="1:9" x14ac:dyDescent="0.2">
      <c r="A1402" s="23" t="str">
        <v/>
      </c>
      <c r="B1402" s="25" t="str">
        <v/>
      </c>
      <c r="C1402" s="27" t="str">
        <v/>
      </c>
      <c r="D1402" s="27" t="str">
        <v/>
      </c>
      <c r="E1402" s="27" t="str">
        <v/>
      </c>
      <c r="F1402" s="27" t="str">
        <v/>
      </c>
      <c r="G1402" s="27" t="str">
        <v/>
      </c>
      <c r="H1402" s="27" t="str">
        <v/>
      </c>
      <c r="I1402" s="27" t="str">
        <v/>
      </c>
    </row>
    <row r="1403" spans="1:9" x14ac:dyDescent="0.2">
      <c r="A1403" s="23" t="str">
        <v/>
      </c>
      <c r="B1403" s="25" t="str">
        <v/>
      </c>
      <c r="C1403" s="27" t="str">
        <v/>
      </c>
      <c r="D1403" s="27" t="str">
        <v/>
      </c>
      <c r="E1403" s="27" t="str">
        <v/>
      </c>
      <c r="F1403" s="27" t="str">
        <v/>
      </c>
      <c r="G1403" s="27" t="str">
        <v/>
      </c>
      <c r="H1403" s="27" t="str">
        <v/>
      </c>
      <c r="I1403" s="27" t="str">
        <v/>
      </c>
    </row>
    <row r="1404" spans="1:9" x14ac:dyDescent="0.2">
      <c r="A1404" s="23" t="str">
        <v/>
      </c>
      <c r="B1404" s="25" t="str">
        <v/>
      </c>
      <c r="C1404" s="27" t="str">
        <v/>
      </c>
      <c r="D1404" s="27" t="str">
        <v/>
      </c>
      <c r="E1404" s="27" t="str">
        <v/>
      </c>
      <c r="F1404" s="27" t="str">
        <v/>
      </c>
      <c r="G1404" s="27" t="str">
        <v/>
      </c>
      <c r="H1404" s="27" t="str">
        <v/>
      </c>
      <c r="I1404" s="27" t="str">
        <v/>
      </c>
    </row>
    <row r="1405" spans="1:9" x14ac:dyDescent="0.2">
      <c r="A1405" s="23" t="str">
        <v/>
      </c>
      <c r="B1405" s="25" t="str">
        <v/>
      </c>
      <c r="C1405" s="27" t="str">
        <v/>
      </c>
      <c r="D1405" s="27" t="str">
        <v/>
      </c>
      <c r="E1405" s="27" t="str">
        <v/>
      </c>
      <c r="F1405" s="27" t="str">
        <v/>
      </c>
      <c r="G1405" s="27" t="str">
        <v/>
      </c>
      <c r="H1405" s="27" t="str">
        <v/>
      </c>
      <c r="I1405" s="27" t="str">
        <v/>
      </c>
    </row>
    <row r="1406" spans="1:9" x14ac:dyDescent="0.2">
      <c r="A1406" s="23" t="str">
        <v/>
      </c>
      <c r="B1406" s="25" t="str">
        <v/>
      </c>
      <c r="C1406" s="27" t="str">
        <v/>
      </c>
      <c r="D1406" s="27" t="str">
        <v/>
      </c>
      <c r="E1406" s="27" t="str">
        <v/>
      </c>
      <c r="F1406" s="27" t="str">
        <v/>
      </c>
      <c r="G1406" s="27" t="str">
        <v/>
      </c>
      <c r="H1406" s="27" t="str">
        <v/>
      </c>
      <c r="I1406" s="27" t="str">
        <v/>
      </c>
    </row>
    <row r="1407" spans="1:9" x14ac:dyDescent="0.2">
      <c r="A1407" s="23" t="str">
        <v/>
      </c>
      <c r="B1407" s="25" t="str">
        <v/>
      </c>
      <c r="C1407" s="27" t="str">
        <v/>
      </c>
      <c r="D1407" s="27" t="str">
        <v/>
      </c>
      <c r="E1407" s="27" t="str">
        <v/>
      </c>
      <c r="F1407" s="27" t="str">
        <v/>
      </c>
      <c r="G1407" s="27" t="str">
        <v/>
      </c>
      <c r="H1407" s="27" t="str">
        <v/>
      </c>
      <c r="I1407" s="27" t="str">
        <v/>
      </c>
    </row>
    <row r="1408" spans="1:9" x14ac:dyDescent="0.2">
      <c r="A1408" s="23" t="str">
        <v/>
      </c>
      <c r="B1408" s="25" t="str">
        <v/>
      </c>
      <c r="C1408" s="27" t="str">
        <v/>
      </c>
      <c r="D1408" s="27" t="str">
        <v/>
      </c>
      <c r="E1408" s="27" t="str">
        <v/>
      </c>
      <c r="F1408" s="27" t="str">
        <v/>
      </c>
      <c r="G1408" s="27" t="str">
        <v/>
      </c>
      <c r="H1408" s="27" t="str">
        <v/>
      </c>
      <c r="I1408" s="27" t="str">
        <v/>
      </c>
    </row>
    <row r="1409" spans="1:9" x14ac:dyDescent="0.2">
      <c r="A1409" s="23" t="str">
        <v/>
      </c>
      <c r="B1409" s="25" t="str">
        <v/>
      </c>
      <c r="C1409" s="27" t="str">
        <v/>
      </c>
      <c r="D1409" s="27" t="str">
        <v/>
      </c>
      <c r="E1409" s="27" t="str">
        <v/>
      </c>
      <c r="F1409" s="27" t="str">
        <v/>
      </c>
      <c r="G1409" s="27" t="str">
        <v/>
      </c>
      <c r="H1409" s="27" t="str">
        <v/>
      </c>
      <c r="I1409" s="27" t="str">
        <v/>
      </c>
    </row>
    <row r="1410" spans="1:9" x14ac:dyDescent="0.2">
      <c r="A1410" s="23" t="str">
        <v/>
      </c>
      <c r="B1410" s="25" t="str">
        <v/>
      </c>
      <c r="C1410" s="27" t="str">
        <v/>
      </c>
      <c r="D1410" s="27" t="str">
        <v/>
      </c>
      <c r="E1410" s="27" t="str">
        <v/>
      </c>
      <c r="F1410" s="27" t="str">
        <v/>
      </c>
      <c r="G1410" s="27" t="str">
        <v/>
      </c>
      <c r="H1410" s="27" t="str">
        <v/>
      </c>
      <c r="I1410" s="27" t="str">
        <v/>
      </c>
    </row>
    <row r="1411" spans="1:9" x14ac:dyDescent="0.2">
      <c r="A1411" s="23" t="str">
        <v/>
      </c>
      <c r="B1411" s="25" t="str">
        <v/>
      </c>
      <c r="C1411" s="27" t="str">
        <v/>
      </c>
      <c r="D1411" s="27" t="str">
        <v/>
      </c>
      <c r="E1411" s="27" t="str">
        <v/>
      </c>
      <c r="F1411" s="27" t="str">
        <v/>
      </c>
      <c r="G1411" s="27" t="str">
        <v/>
      </c>
      <c r="H1411" s="27" t="str">
        <v/>
      </c>
      <c r="I1411" s="27" t="str">
        <v/>
      </c>
    </row>
    <row r="1412" spans="1:9" x14ac:dyDescent="0.2">
      <c r="A1412" s="23" t="str">
        <v/>
      </c>
      <c r="B1412" s="25" t="str">
        <v/>
      </c>
      <c r="C1412" s="27" t="str">
        <v/>
      </c>
      <c r="D1412" s="27" t="str">
        <v/>
      </c>
      <c r="E1412" s="27" t="str">
        <v/>
      </c>
      <c r="F1412" s="27" t="str">
        <v/>
      </c>
      <c r="G1412" s="27" t="str">
        <v/>
      </c>
      <c r="H1412" s="27" t="str">
        <v/>
      </c>
      <c r="I1412" s="27" t="str">
        <v/>
      </c>
    </row>
    <row r="1413" spans="1:9" x14ac:dyDescent="0.2">
      <c r="A1413" s="23" t="str">
        <v/>
      </c>
      <c r="B1413" s="25" t="str">
        <v/>
      </c>
      <c r="C1413" s="27" t="str">
        <v/>
      </c>
      <c r="D1413" s="27" t="str">
        <v/>
      </c>
      <c r="E1413" s="27" t="str">
        <v/>
      </c>
      <c r="F1413" s="27" t="str">
        <v/>
      </c>
      <c r="G1413" s="27" t="str">
        <v/>
      </c>
      <c r="H1413" s="27" t="str">
        <v/>
      </c>
      <c r="I1413" s="27" t="str">
        <v/>
      </c>
    </row>
    <row r="1414" spans="1:9" x14ac:dyDescent="0.2">
      <c r="A1414" s="23" t="str">
        <v/>
      </c>
      <c r="B1414" s="25" t="str">
        <v/>
      </c>
      <c r="C1414" s="27" t="str">
        <v/>
      </c>
      <c r="D1414" s="27" t="str">
        <v/>
      </c>
      <c r="E1414" s="27" t="str">
        <v/>
      </c>
      <c r="F1414" s="27" t="str">
        <v/>
      </c>
      <c r="G1414" s="27" t="str">
        <v/>
      </c>
      <c r="H1414" s="27" t="str">
        <v/>
      </c>
      <c r="I1414" s="27" t="str">
        <v/>
      </c>
    </row>
    <row r="1415" spans="1:9" x14ac:dyDescent="0.2">
      <c r="A1415" s="23" t="str">
        <v/>
      </c>
      <c r="B1415" s="25" t="str">
        <v/>
      </c>
      <c r="C1415" s="27" t="str">
        <v/>
      </c>
      <c r="D1415" s="27" t="str">
        <v/>
      </c>
      <c r="E1415" s="27" t="str">
        <v/>
      </c>
      <c r="F1415" s="27" t="str">
        <v/>
      </c>
      <c r="G1415" s="27" t="str">
        <v/>
      </c>
      <c r="H1415" s="27" t="str">
        <v/>
      </c>
      <c r="I1415" s="27" t="str">
        <v/>
      </c>
    </row>
    <row r="1416" spans="1:9" x14ac:dyDescent="0.2">
      <c r="A1416" s="23" t="str">
        <v/>
      </c>
      <c r="B1416" s="25" t="str">
        <v/>
      </c>
      <c r="C1416" s="27" t="str">
        <v/>
      </c>
      <c r="D1416" s="27" t="str">
        <v/>
      </c>
      <c r="E1416" s="27" t="str">
        <v/>
      </c>
      <c r="F1416" s="27" t="str">
        <v/>
      </c>
      <c r="G1416" s="27" t="str">
        <v/>
      </c>
      <c r="H1416" s="27" t="str">
        <v/>
      </c>
      <c r="I1416" s="27" t="str">
        <v/>
      </c>
    </row>
    <row r="1417" spans="1:9" x14ac:dyDescent="0.2">
      <c r="A1417" s="23" t="str">
        <v/>
      </c>
      <c r="B1417" s="25" t="str">
        <v/>
      </c>
      <c r="C1417" s="27" t="str">
        <v/>
      </c>
      <c r="D1417" s="27" t="str">
        <v/>
      </c>
      <c r="E1417" s="27" t="str">
        <v/>
      </c>
      <c r="F1417" s="27" t="str">
        <v/>
      </c>
      <c r="G1417" s="27" t="str">
        <v/>
      </c>
      <c r="H1417" s="27" t="str">
        <v/>
      </c>
      <c r="I1417" s="27" t="str">
        <v/>
      </c>
    </row>
    <row r="1418" spans="1:9" x14ac:dyDescent="0.2">
      <c r="A1418" s="23" t="str">
        <v/>
      </c>
      <c r="B1418" s="25" t="str">
        <v/>
      </c>
      <c r="C1418" s="27" t="str">
        <v/>
      </c>
      <c r="D1418" s="27" t="str">
        <v/>
      </c>
      <c r="E1418" s="27" t="str">
        <v/>
      </c>
      <c r="F1418" s="27" t="str">
        <v/>
      </c>
      <c r="G1418" s="27" t="str">
        <v/>
      </c>
      <c r="H1418" s="27" t="str">
        <v/>
      </c>
      <c r="I1418" s="27" t="str">
        <v/>
      </c>
    </row>
    <row r="1419" spans="1:9" x14ac:dyDescent="0.2">
      <c r="A1419" s="23" t="str">
        <v/>
      </c>
      <c r="B1419" s="25" t="str">
        <v/>
      </c>
      <c r="C1419" s="27" t="str">
        <v/>
      </c>
      <c r="D1419" s="27" t="str">
        <v/>
      </c>
      <c r="E1419" s="27" t="str">
        <v/>
      </c>
      <c r="F1419" s="27" t="str">
        <v/>
      </c>
      <c r="G1419" s="27" t="str">
        <v/>
      </c>
      <c r="H1419" s="27" t="str">
        <v/>
      </c>
      <c r="I1419" s="27" t="str">
        <v/>
      </c>
    </row>
    <row r="1420" spans="1:9" x14ac:dyDescent="0.2">
      <c r="A1420" s="23" t="str">
        <v/>
      </c>
      <c r="B1420" s="25" t="str">
        <v/>
      </c>
      <c r="C1420" s="27" t="str">
        <v/>
      </c>
      <c r="D1420" s="27" t="str">
        <v/>
      </c>
      <c r="E1420" s="27" t="str">
        <v/>
      </c>
      <c r="F1420" s="27" t="str">
        <v/>
      </c>
      <c r="G1420" s="27" t="str">
        <v/>
      </c>
      <c r="H1420" s="27" t="str">
        <v/>
      </c>
      <c r="I1420" s="27" t="str">
        <v/>
      </c>
    </row>
    <row r="1421" spans="1:9" x14ac:dyDescent="0.2">
      <c r="A1421" s="23" t="str">
        <v/>
      </c>
      <c r="B1421" s="25" t="str">
        <v/>
      </c>
      <c r="C1421" s="27" t="str">
        <v/>
      </c>
      <c r="D1421" s="27" t="str">
        <v/>
      </c>
      <c r="E1421" s="27" t="str">
        <v/>
      </c>
      <c r="F1421" s="27" t="str">
        <v/>
      </c>
      <c r="G1421" s="27" t="str">
        <v/>
      </c>
      <c r="H1421" s="27" t="str">
        <v/>
      </c>
      <c r="I1421" s="27" t="str">
        <v/>
      </c>
    </row>
    <row r="1422" spans="1:9" x14ac:dyDescent="0.2">
      <c r="A1422" s="23" t="str">
        <v/>
      </c>
      <c r="B1422" s="25" t="str">
        <v/>
      </c>
      <c r="C1422" s="27" t="str">
        <v/>
      </c>
      <c r="D1422" s="27" t="str">
        <v/>
      </c>
      <c r="E1422" s="27" t="str">
        <v/>
      </c>
      <c r="F1422" s="27" t="str">
        <v/>
      </c>
      <c r="G1422" s="27" t="str">
        <v/>
      </c>
      <c r="H1422" s="27" t="str">
        <v/>
      </c>
      <c r="I1422" s="27" t="str">
        <v/>
      </c>
    </row>
    <row r="1423" spans="1:9" x14ac:dyDescent="0.2">
      <c r="A1423" s="23" t="str">
        <v/>
      </c>
      <c r="B1423" s="25" t="str">
        <v/>
      </c>
      <c r="C1423" s="27" t="str">
        <v/>
      </c>
      <c r="D1423" s="27" t="str">
        <v/>
      </c>
      <c r="E1423" s="27" t="str">
        <v/>
      </c>
      <c r="F1423" s="27" t="str">
        <v/>
      </c>
      <c r="G1423" s="27" t="str">
        <v/>
      </c>
      <c r="H1423" s="27" t="str">
        <v/>
      </c>
      <c r="I1423" s="27" t="str">
        <v/>
      </c>
    </row>
    <row r="1424" spans="1:9" x14ac:dyDescent="0.2">
      <c r="A1424" s="23" t="str">
        <v/>
      </c>
      <c r="B1424" s="25" t="str">
        <v/>
      </c>
      <c r="C1424" s="27" t="str">
        <v/>
      </c>
      <c r="D1424" s="27" t="str">
        <v/>
      </c>
      <c r="E1424" s="27" t="str">
        <v/>
      </c>
      <c r="F1424" s="27" t="str">
        <v/>
      </c>
      <c r="G1424" s="27" t="str">
        <v/>
      </c>
      <c r="H1424" s="27" t="str">
        <v/>
      </c>
      <c r="I1424" s="27" t="str">
        <v/>
      </c>
    </row>
    <row r="1425" spans="1:9" x14ac:dyDescent="0.2">
      <c r="A1425" s="23" t="str">
        <v/>
      </c>
      <c r="B1425" s="25" t="str">
        <v/>
      </c>
      <c r="C1425" s="27" t="str">
        <v/>
      </c>
      <c r="D1425" s="27" t="str">
        <v/>
      </c>
      <c r="E1425" s="27" t="str">
        <v/>
      </c>
      <c r="F1425" s="27" t="str">
        <v/>
      </c>
      <c r="G1425" s="27" t="str">
        <v/>
      </c>
      <c r="H1425" s="27" t="str">
        <v/>
      </c>
      <c r="I1425" s="27" t="str">
        <v/>
      </c>
    </row>
    <row r="1426" spans="1:9" x14ac:dyDescent="0.2">
      <c r="A1426" s="23" t="str">
        <v/>
      </c>
      <c r="B1426" s="25" t="str">
        <v/>
      </c>
      <c r="C1426" s="27" t="str">
        <v/>
      </c>
      <c r="D1426" s="27" t="str">
        <v/>
      </c>
      <c r="E1426" s="27" t="str">
        <v/>
      </c>
      <c r="F1426" s="27" t="str">
        <v/>
      </c>
      <c r="G1426" s="27" t="str">
        <v/>
      </c>
      <c r="H1426" s="27" t="str">
        <v/>
      </c>
      <c r="I1426" s="27" t="str">
        <v/>
      </c>
    </row>
    <row r="1427" spans="1:9" x14ac:dyDescent="0.2">
      <c r="A1427" s="23" t="str">
        <v/>
      </c>
      <c r="B1427" s="25" t="str">
        <v/>
      </c>
      <c r="C1427" s="27" t="str">
        <v/>
      </c>
      <c r="D1427" s="27" t="str">
        <v/>
      </c>
      <c r="E1427" s="27" t="str">
        <v/>
      </c>
      <c r="F1427" s="27" t="str">
        <v/>
      </c>
      <c r="G1427" s="27" t="str">
        <v/>
      </c>
      <c r="H1427" s="27" t="str">
        <v/>
      </c>
      <c r="I1427" s="27" t="str">
        <v/>
      </c>
    </row>
    <row r="1428" spans="1:9" x14ac:dyDescent="0.2">
      <c r="A1428" s="23" t="str">
        <v/>
      </c>
      <c r="B1428" s="25" t="str">
        <v/>
      </c>
      <c r="C1428" s="27" t="str">
        <v/>
      </c>
      <c r="D1428" s="27" t="str">
        <v/>
      </c>
      <c r="E1428" s="27" t="str">
        <v/>
      </c>
      <c r="F1428" s="27" t="str">
        <v/>
      </c>
      <c r="G1428" s="27" t="str">
        <v/>
      </c>
      <c r="H1428" s="27" t="str">
        <v/>
      </c>
      <c r="I1428" s="27" t="str">
        <v/>
      </c>
    </row>
    <row r="1429" spans="1:9" x14ac:dyDescent="0.2">
      <c r="A1429" s="23" t="str">
        <v/>
      </c>
      <c r="B1429" s="25" t="str">
        <v/>
      </c>
      <c r="C1429" s="27" t="str">
        <v/>
      </c>
      <c r="D1429" s="27" t="str">
        <v/>
      </c>
      <c r="E1429" s="27" t="str">
        <v/>
      </c>
      <c r="F1429" s="27" t="str">
        <v/>
      </c>
      <c r="G1429" s="27" t="str">
        <v/>
      </c>
      <c r="H1429" s="27" t="str">
        <v/>
      </c>
      <c r="I1429" s="27" t="str">
        <v/>
      </c>
    </row>
    <row r="1430" spans="1:9" x14ac:dyDescent="0.2">
      <c r="A1430" s="23" t="str">
        <v/>
      </c>
      <c r="B1430" s="25" t="str">
        <v/>
      </c>
      <c r="C1430" s="27" t="str">
        <v/>
      </c>
      <c r="D1430" s="27" t="str">
        <v/>
      </c>
      <c r="E1430" s="27" t="str">
        <v/>
      </c>
      <c r="F1430" s="27" t="str">
        <v/>
      </c>
      <c r="G1430" s="27" t="str">
        <v/>
      </c>
      <c r="H1430" s="27" t="str">
        <v/>
      </c>
      <c r="I1430" s="27" t="str">
        <v/>
      </c>
    </row>
    <row r="1431" spans="1:9" x14ac:dyDescent="0.2">
      <c r="A1431" s="23" t="str">
        <v/>
      </c>
      <c r="B1431" s="25" t="str">
        <v/>
      </c>
      <c r="C1431" s="27" t="str">
        <v/>
      </c>
      <c r="D1431" s="27" t="str">
        <v/>
      </c>
      <c r="E1431" s="27" t="str">
        <v/>
      </c>
      <c r="F1431" s="27" t="str">
        <v/>
      </c>
      <c r="G1431" s="27" t="str">
        <v/>
      </c>
      <c r="H1431" s="27" t="str">
        <v/>
      </c>
      <c r="I1431" s="27" t="str">
        <v/>
      </c>
    </row>
    <row r="1432" spans="1:9" x14ac:dyDescent="0.2">
      <c r="A1432" s="23" t="str">
        <v/>
      </c>
      <c r="B1432" s="25" t="str">
        <v/>
      </c>
      <c r="C1432" s="27" t="str">
        <v/>
      </c>
      <c r="D1432" s="27" t="str">
        <v/>
      </c>
      <c r="E1432" s="27" t="str">
        <v/>
      </c>
      <c r="F1432" s="27" t="str">
        <v/>
      </c>
      <c r="G1432" s="27" t="str">
        <v/>
      </c>
      <c r="H1432" s="27" t="str">
        <v/>
      </c>
      <c r="I1432" s="27" t="str">
        <v/>
      </c>
    </row>
    <row r="1433" spans="1:9" x14ac:dyDescent="0.2">
      <c r="A1433" s="23" t="str">
        <v/>
      </c>
      <c r="B1433" s="25" t="str">
        <v/>
      </c>
      <c r="C1433" s="27" t="str">
        <v/>
      </c>
      <c r="D1433" s="27" t="str">
        <v/>
      </c>
      <c r="E1433" s="27" t="str">
        <v/>
      </c>
      <c r="F1433" s="27" t="str">
        <v/>
      </c>
      <c r="G1433" s="27" t="str">
        <v/>
      </c>
      <c r="H1433" s="27" t="str">
        <v/>
      </c>
      <c r="I1433" s="27" t="str">
        <v/>
      </c>
    </row>
    <row r="1434" spans="1:9" x14ac:dyDescent="0.2">
      <c r="A1434" s="23" t="str">
        <v/>
      </c>
      <c r="B1434" s="25" t="str">
        <v/>
      </c>
      <c r="C1434" s="27" t="str">
        <v/>
      </c>
      <c r="D1434" s="27" t="str">
        <v/>
      </c>
      <c r="E1434" s="27" t="str">
        <v/>
      </c>
      <c r="F1434" s="27" t="str">
        <v/>
      </c>
      <c r="G1434" s="27" t="str">
        <v/>
      </c>
      <c r="H1434" s="27" t="str">
        <v/>
      </c>
      <c r="I1434" s="27" t="str">
        <v/>
      </c>
    </row>
    <row r="1435" spans="1:9" x14ac:dyDescent="0.2">
      <c r="A1435" s="23" t="str">
        <v/>
      </c>
      <c r="B1435" s="25" t="str">
        <v/>
      </c>
      <c r="C1435" s="27" t="str">
        <v/>
      </c>
      <c r="D1435" s="27" t="str">
        <v/>
      </c>
      <c r="E1435" s="27" t="str">
        <v/>
      </c>
      <c r="F1435" s="27" t="str">
        <v/>
      </c>
      <c r="G1435" s="27" t="str">
        <v/>
      </c>
      <c r="H1435" s="27" t="str">
        <v/>
      </c>
      <c r="I1435" s="27" t="str">
        <v/>
      </c>
    </row>
    <row r="1436" spans="1:9" x14ac:dyDescent="0.2">
      <c r="A1436" s="23" t="str">
        <v/>
      </c>
      <c r="B1436" s="25" t="str">
        <v/>
      </c>
      <c r="C1436" s="27" t="str">
        <v/>
      </c>
      <c r="D1436" s="27" t="str">
        <v/>
      </c>
      <c r="E1436" s="27" t="str">
        <v/>
      </c>
      <c r="F1436" s="27" t="str">
        <v/>
      </c>
      <c r="G1436" s="27" t="str">
        <v/>
      </c>
      <c r="H1436" s="27" t="str">
        <v/>
      </c>
      <c r="I1436" s="27" t="str">
        <v/>
      </c>
    </row>
    <row r="1437" spans="1:9" x14ac:dyDescent="0.2">
      <c r="A1437" s="23" t="str">
        <v/>
      </c>
      <c r="B1437" s="25" t="str">
        <v/>
      </c>
      <c r="C1437" s="27" t="str">
        <v/>
      </c>
      <c r="D1437" s="27" t="str">
        <v/>
      </c>
      <c r="E1437" s="27" t="str">
        <v/>
      </c>
      <c r="F1437" s="27" t="str">
        <v/>
      </c>
      <c r="G1437" s="27" t="str">
        <v/>
      </c>
      <c r="H1437" s="27" t="str">
        <v/>
      </c>
      <c r="I1437" s="27" t="str">
        <v/>
      </c>
    </row>
    <row r="1438" spans="1:9" x14ac:dyDescent="0.2">
      <c r="A1438" s="23" t="str">
        <v/>
      </c>
      <c r="B1438" s="25" t="str">
        <v/>
      </c>
      <c r="C1438" s="27" t="str">
        <v/>
      </c>
      <c r="D1438" s="27" t="str">
        <v/>
      </c>
      <c r="E1438" s="27" t="str">
        <v/>
      </c>
      <c r="F1438" s="27" t="str">
        <v/>
      </c>
      <c r="G1438" s="27" t="str">
        <v/>
      </c>
      <c r="H1438" s="27" t="str">
        <v/>
      </c>
      <c r="I1438" s="27" t="str">
        <v/>
      </c>
    </row>
    <row r="1439" spans="1:9" x14ac:dyDescent="0.2">
      <c r="A1439" s="23" t="str">
        <v/>
      </c>
      <c r="B1439" s="25" t="str">
        <v/>
      </c>
      <c r="C1439" s="27" t="str">
        <v/>
      </c>
      <c r="D1439" s="27" t="str">
        <v/>
      </c>
      <c r="E1439" s="27" t="str">
        <v/>
      </c>
      <c r="F1439" s="27" t="str">
        <v/>
      </c>
      <c r="G1439" s="27" t="str">
        <v/>
      </c>
      <c r="H1439" s="27" t="str">
        <v/>
      </c>
      <c r="I1439" s="27" t="str">
        <v/>
      </c>
    </row>
    <row r="1440" spans="1:9" x14ac:dyDescent="0.2">
      <c r="A1440" s="23" t="str">
        <v/>
      </c>
      <c r="B1440" s="25" t="str">
        <v/>
      </c>
      <c r="C1440" s="27" t="str">
        <v/>
      </c>
      <c r="D1440" s="27" t="str">
        <v/>
      </c>
      <c r="E1440" s="27" t="str">
        <v/>
      </c>
      <c r="F1440" s="27" t="str">
        <v/>
      </c>
      <c r="G1440" s="27" t="str">
        <v/>
      </c>
      <c r="H1440" s="27" t="str">
        <v/>
      </c>
      <c r="I1440" s="27" t="str">
        <v/>
      </c>
    </row>
    <row r="1441" spans="1:9" x14ac:dyDescent="0.2">
      <c r="A1441" s="23" t="str">
        <v/>
      </c>
      <c r="B1441" s="25" t="str">
        <v/>
      </c>
      <c r="C1441" s="27" t="str">
        <v/>
      </c>
      <c r="D1441" s="27" t="str">
        <v/>
      </c>
      <c r="E1441" s="27" t="str">
        <v/>
      </c>
      <c r="F1441" s="27" t="str">
        <v/>
      </c>
      <c r="G1441" s="27" t="str">
        <v/>
      </c>
      <c r="H1441" s="27" t="str">
        <v/>
      </c>
      <c r="I1441" s="27" t="str">
        <v/>
      </c>
    </row>
    <row r="1442" spans="1:9" x14ac:dyDescent="0.2">
      <c r="A1442" s="23" t="str">
        <v/>
      </c>
      <c r="B1442" s="25" t="str">
        <v/>
      </c>
      <c r="C1442" s="27" t="str">
        <v/>
      </c>
      <c r="D1442" s="27" t="str">
        <v/>
      </c>
      <c r="E1442" s="27" t="str">
        <v/>
      </c>
      <c r="F1442" s="27" t="str">
        <v/>
      </c>
      <c r="G1442" s="27" t="str">
        <v/>
      </c>
      <c r="H1442" s="27" t="str">
        <v/>
      </c>
      <c r="I1442" s="27" t="str">
        <v/>
      </c>
    </row>
    <row r="1443" spans="1:9" x14ac:dyDescent="0.2">
      <c r="A1443" s="23" t="str">
        <v/>
      </c>
      <c r="B1443" s="25" t="str">
        <v/>
      </c>
      <c r="C1443" s="27" t="str">
        <v/>
      </c>
      <c r="D1443" s="27" t="str">
        <v/>
      </c>
      <c r="E1443" s="27" t="str">
        <v/>
      </c>
      <c r="F1443" s="27" t="str">
        <v/>
      </c>
      <c r="G1443" s="27" t="str">
        <v/>
      </c>
      <c r="H1443" s="27" t="str">
        <v/>
      </c>
      <c r="I1443" s="27" t="str">
        <v/>
      </c>
    </row>
    <row r="1444" spans="1:9" x14ac:dyDescent="0.2">
      <c r="A1444" s="23" t="str">
        <v/>
      </c>
      <c r="B1444" s="25" t="str">
        <v/>
      </c>
      <c r="C1444" s="27" t="str">
        <v/>
      </c>
      <c r="D1444" s="27" t="str">
        <v/>
      </c>
      <c r="E1444" s="27" t="str">
        <v/>
      </c>
      <c r="F1444" s="27" t="str">
        <v/>
      </c>
      <c r="G1444" s="27" t="str">
        <v/>
      </c>
      <c r="H1444" s="27" t="str">
        <v/>
      </c>
      <c r="I1444" s="27" t="str">
        <v/>
      </c>
    </row>
    <row r="1445" spans="1:9" x14ac:dyDescent="0.2">
      <c r="A1445" s="23" t="str">
        <v/>
      </c>
      <c r="B1445" s="25" t="str">
        <v/>
      </c>
      <c r="C1445" s="27" t="str">
        <v/>
      </c>
      <c r="D1445" s="27" t="str">
        <v/>
      </c>
      <c r="E1445" s="27" t="str">
        <v/>
      </c>
      <c r="F1445" s="27" t="str">
        <v/>
      </c>
      <c r="G1445" s="27" t="str">
        <v/>
      </c>
      <c r="H1445" s="27" t="str">
        <v/>
      </c>
      <c r="I1445" s="27" t="str">
        <v/>
      </c>
    </row>
    <row r="1446" spans="1:9" x14ac:dyDescent="0.2">
      <c r="A1446" s="23" t="str">
        <v/>
      </c>
      <c r="B1446" s="25" t="str">
        <v/>
      </c>
      <c r="C1446" s="27" t="str">
        <v/>
      </c>
      <c r="D1446" s="27" t="str">
        <v/>
      </c>
      <c r="E1446" s="27" t="str">
        <v/>
      </c>
      <c r="F1446" s="27" t="str">
        <v/>
      </c>
      <c r="G1446" s="27" t="str">
        <v/>
      </c>
      <c r="H1446" s="27" t="str">
        <v/>
      </c>
      <c r="I1446" s="27" t="str">
        <v/>
      </c>
    </row>
    <row r="1447" spans="1:9" x14ac:dyDescent="0.2">
      <c r="A1447" s="23" t="str">
        <v/>
      </c>
      <c r="B1447" s="25" t="str">
        <v/>
      </c>
      <c r="C1447" s="27" t="str">
        <v/>
      </c>
      <c r="D1447" s="27" t="str">
        <v/>
      </c>
      <c r="E1447" s="27" t="str">
        <v/>
      </c>
      <c r="F1447" s="27" t="str">
        <v/>
      </c>
      <c r="G1447" s="27" t="str">
        <v/>
      </c>
      <c r="H1447" s="27" t="str">
        <v/>
      </c>
      <c r="I1447" s="27" t="str">
        <v/>
      </c>
    </row>
    <row r="1448" spans="1:9" x14ac:dyDescent="0.2">
      <c r="A1448" s="23" t="str">
        <v/>
      </c>
      <c r="B1448" s="25" t="str">
        <v/>
      </c>
      <c r="C1448" s="27" t="str">
        <v/>
      </c>
      <c r="D1448" s="27" t="str">
        <v/>
      </c>
      <c r="E1448" s="27" t="str">
        <v/>
      </c>
      <c r="F1448" s="27" t="str">
        <v/>
      </c>
      <c r="G1448" s="27" t="str">
        <v/>
      </c>
      <c r="H1448" s="27" t="str">
        <v/>
      </c>
      <c r="I1448" s="27" t="str">
        <v/>
      </c>
    </row>
    <row r="1449" spans="1:9" x14ac:dyDescent="0.2">
      <c r="A1449" s="23" t="str">
        <v/>
      </c>
      <c r="B1449" s="25" t="str">
        <v/>
      </c>
      <c r="C1449" s="27" t="str">
        <v/>
      </c>
      <c r="D1449" s="27" t="str">
        <v/>
      </c>
      <c r="E1449" s="27" t="str">
        <v/>
      </c>
      <c r="F1449" s="27" t="str">
        <v/>
      </c>
      <c r="G1449" s="27" t="str">
        <v/>
      </c>
      <c r="H1449" s="27" t="str">
        <v/>
      </c>
      <c r="I1449" s="27" t="str">
        <v/>
      </c>
    </row>
    <row r="1450" spans="1:9" x14ac:dyDescent="0.2">
      <c r="A1450" s="23" t="str">
        <v/>
      </c>
      <c r="B1450" s="25" t="str">
        <v/>
      </c>
      <c r="C1450" s="27" t="str">
        <v/>
      </c>
      <c r="D1450" s="27" t="str">
        <v/>
      </c>
      <c r="E1450" s="27" t="str">
        <v/>
      </c>
      <c r="F1450" s="27" t="str">
        <v/>
      </c>
      <c r="G1450" s="27" t="str">
        <v/>
      </c>
      <c r="H1450" s="27" t="str">
        <v/>
      </c>
      <c r="I1450" s="27" t="str">
        <v/>
      </c>
    </row>
    <row r="1451" spans="1:9" x14ac:dyDescent="0.2">
      <c r="A1451" s="23" t="str">
        <v/>
      </c>
      <c r="B1451" s="25" t="str">
        <v/>
      </c>
      <c r="C1451" s="27" t="str">
        <v/>
      </c>
      <c r="D1451" s="27" t="str">
        <v/>
      </c>
      <c r="E1451" s="27" t="str">
        <v/>
      </c>
      <c r="F1451" s="27" t="str">
        <v/>
      </c>
      <c r="G1451" s="27" t="str">
        <v/>
      </c>
      <c r="H1451" s="27" t="str">
        <v/>
      </c>
      <c r="I1451" s="27" t="str">
        <v/>
      </c>
    </row>
    <row r="1452" spans="1:9" x14ac:dyDescent="0.2">
      <c r="A1452" s="23" t="str">
        <v/>
      </c>
      <c r="B1452" s="25" t="str">
        <v/>
      </c>
      <c r="C1452" s="27" t="str">
        <v/>
      </c>
      <c r="D1452" s="27" t="str">
        <v/>
      </c>
      <c r="E1452" s="27" t="str">
        <v/>
      </c>
      <c r="F1452" s="27" t="str">
        <v/>
      </c>
      <c r="G1452" s="27" t="str">
        <v/>
      </c>
      <c r="H1452" s="27" t="str">
        <v/>
      </c>
      <c r="I1452" s="27" t="str">
        <v/>
      </c>
    </row>
  </sheetData>
  <sheetProtection algorithmName="SHA-512" hashValue="AOg1DyB5I1rvnxzvT8ixPC8LDtVAAmLhMbMQHhwDb2LL8ASqOIrEAK93SW56KfBxqKDUhH+ANSBwu3UPHufORQ==" saltValue="hWf2tpTikz5Q+IACUBEZbw==" spinCount="100000" sheet="1" objects="1" scenarios="1" formatCells="0" sort="0" autoFilter="0"/>
  <mergeCells count="12">
    <mergeCell ref="A2:I2"/>
    <mergeCell ref="A3:I3"/>
    <mergeCell ref="A5:B5"/>
    <mergeCell ref="A10:A12"/>
    <mergeCell ref="B10:B12"/>
    <mergeCell ref="C11:C12"/>
    <mergeCell ref="D11:D12"/>
    <mergeCell ref="E11:E12"/>
    <mergeCell ref="F11:F12"/>
    <mergeCell ref="G11:G12"/>
    <mergeCell ref="H11:H12"/>
    <mergeCell ref="I11:I12"/>
  </mergeCell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ACTUALIZAR">
          <controlPr defaultSize="0" print="0" autoLine="0" r:id="rId5">
            <anchor moveWithCells="1" sizeWithCells="1">
              <from>
                <xdr:col>0</xdr:col>
                <xdr:colOff>19050</xdr:colOff>
                <xdr:row>4</xdr:row>
                <xdr:rowOff>152400</xdr:rowOff>
              </from>
              <to>
                <xdr:col>1</xdr:col>
                <xdr:colOff>266700</xdr:colOff>
                <xdr:row>6</xdr:row>
                <xdr:rowOff>123825</xdr:rowOff>
              </to>
            </anchor>
          </controlPr>
        </control>
      </mc:Choice>
      <mc:Fallback>
        <control shapeId="3074" r:id="rId4" name="ACTUALIZAR"/>
      </mc:Fallback>
    </mc:AlternateContent>
    <mc:AlternateContent xmlns:mc="http://schemas.openxmlformats.org/markup-compatibility/2006">
      <mc:Choice Requires="x14">
        <control shapeId="3075" r:id="rId6" name="GUARDAR">
          <controlPr defaultSize="0" print="0" autoLine="0" autoPict="0" r:id="rId7">
            <anchor moveWithCells="1" sizeWithCells="1">
              <from>
                <xdr:col>1</xdr:col>
                <xdr:colOff>304800</xdr:colOff>
                <xdr:row>5</xdr:row>
                <xdr:rowOff>0</xdr:rowOff>
              </from>
              <to>
                <xdr:col>2</xdr:col>
                <xdr:colOff>609600</xdr:colOff>
                <xdr:row>6</xdr:row>
                <xdr:rowOff>133350</xdr:rowOff>
              </to>
            </anchor>
          </controlPr>
        </control>
      </mc:Choice>
      <mc:Fallback>
        <control shapeId="3075" r:id="rId6" name="GUARDAR"/>
      </mc:Fallback>
    </mc:AlternateContent>
    <mc:AlternateContent xmlns:mc="http://schemas.openxmlformats.org/markup-compatibility/2006">
      <mc:Choice Requires="x14">
        <control shapeId="3081" r:id="rId8" name="Drop Down 9">
          <controlPr defaultSize="0" autoLine="0" autoPict="0">
            <anchor moveWithCells="1">
              <from>
                <xdr:col>1</xdr:col>
                <xdr:colOff>628650</xdr:colOff>
                <xdr:row>8</xdr:row>
                <xdr:rowOff>152400</xdr:rowOff>
              </from>
              <to>
                <xdr:col>3</xdr:col>
                <xdr:colOff>0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9" name="Drop Down 10">
          <controlPr defaultSize="0" autoLine="0" autoPict="0">
            <anchor moveWithCells="1">
              <from>
                <xdr:col>3</xdr:col>
                <xdr:colOff>0</xdr:colOff>
                <xdr:row>8</xdr:row>
                <xdr:rowOff>152400</xdr:rowOff>
              </from>
              <to>
                <xdr:col>4</xdr:col>
                <xdr:colOff>0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0" name="Drop Down 11">
          <controlPr defaultSize="0" autoLine="0" autoPict="0">
            <anchor moveWithCells="1">
              <from>
                <xdr:col>4</xdr:col>
                <xdr:colOff>0</xdr:colOff>
                <xdr:row>8</xdr:row>
                <xdr:rowOff>152400</xdr:rowOff>
              </from>
              <to>
                <xdr:col>5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1" name="Drop Down 12">
          <controlPr defaultSize="0" autoLine="0" autoPict="0">
            <anchor moveWithCells="1">
              <from>
                <xdr:col>5</xdr:col>
                <xdr:colOff>0</xdr:colOff>
                <xdr:row>8</xdr:row>
                <xdr:rowOff>152400</xdr:rowOff>
              </from>
              <to>
                <xdr:col>6</xdr:col>
                <xdr:colOff>19050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2" name="Drop Down 13">
          <controlPr defaultSize="0" autoLine="0" autoPict="0">
            <anchor moveWithCells="1">
              <from>
                <xdr:col>6</xdr:col>
                <xdr:colOff>0</xdr:colOff>
                <xdr:row>8</xdr:row>
                <xdr:rowOff>152400</xdr:rowOff>
              </from>
              <to>
                <xdr:col>7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3" name="Drop Down 14">
          <controlPr defaultSize="0" autoLine="0" autoPict="0">
            <anchor moveWithCells="1">
              <from>
                <xdr:col>7</xdr:col>
                <xdr:colOff>9525</xdr:colOff>
                <xdr:row>8</xdr:row>
                <xdr:rowOff>152400</xdr:rowOff>
              </from>
              <to>
                <xdr:col>8</xdr:col>
                <xdr:colOff>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14" name="Drop Down 15">
          <controlPr defaultSize="0" autoLine="0" autoPict="0" macro="[0]!Listadesplegable15_AlCambiar">
            <anchor moveWithCells="1">
              <from>
                <xdr:col>1</xdr:col>
                <xdr:colOff>9525</xdr:colOff>
                <xdr:row>6</xdr:row>
                <xdr:rowOff>142875</xdr:rowOff>
              </from>
              <to>
                <xdr:col>2</xdr:col>
                <xdr:colOff>123825</xdr:colOff>
                <xdr:row>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0" r:id="rId15" name="Drop Down 48">
          <controlPr defaultSize="0" autoLine="0" autoPict="0">
            <anchor moveWithCells="1">
              <from>
                <xdr:col>8</xdr:col>
                <xdr:colOff>0</xdr:colOff>
                <xdr:row>8</xdr:row>
                <xdr:rowOff>152400</xdr:rowOff>
              </from>
              <to>
                <xdr:col>16383</xdr:col>
                <xdr:colOff>9525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2" r:id="rId16" name="Drop Down 50">
          <controlPr defaultSize="0" autoLine="0" autoPict="0" macro="[0]!Listadesplegable15_AlCambiar">
            <anchor moveWithCells="1">
              <from>
                <xdr:col>2</xdr:col>
                <xdr:colOff>1819275</xdr:colOff>
                <xdr:row>6</xdr:row>
                <xdr:rowOff>152400</xdr:rowOff>
              </from>
              <to>
                <xdr:col>3</xdr:col>
                <xdr:colOff>1200150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1536"/>
  <sheetViews>
    <sheetView workbookViewId="0">
      <selection activeCell="F9" sqref="F9"/>
    </sheetView>
  </sheetViews>
  <sheetFormatPr baseColWidth="10" defaultRowHeight="12.75" x14ac:dyDescent="0.2"/>
  <cols>
    <col min="1" max="1" width="18.28515625" customWidth="1"/>
    <col min="2" max="2" width="31.28515625" customWidth="1"/>
    <col min="3" max="3" width="28.28515625" customWidth="1"/>
    <col min="4" max="4" width="4" bestFit="1" customWidth="1"/>
    <col min="5" max="5" width="7.85546875" customWidth="1"/>
    <col min="6" max="6" width="14.85546875" customWidth="1"/>
    <col min="7" max="7" width="3.5703125" customWidth="1"/>
    <col min="8" max="8" width="14.42578125" customWidth="1"/>
    <col min="9" max="9" width="6" hidden="1" customWidth="1"/>
    <col min="10" max="10" width="3.7109375" hidden="1" customWidth="1"/>
    <col min="11" max="11" width="5.85546875" hidden="1" customWidth="1"/>
    <col min="12" max="12" width="7.5703125" hidden="1" customWidth="1"/>
    <col min="13" max="13" width="2.7109375" bestFit="1" customWidth="1"/>
    <col min="14" max="15" width="8" bestFit="1" customWidth="1"/>
  </cols>
  <sheetData>
    <row r="1" spans="1:17" x14ac:dyDescent="0.2">
      <c r="A1" s="8" t="s">
        <v>7</v>
      </c>
      <c r="B1" s="8" t="s">
        <v>22</v>
      </c>
      <c r="C1" s="8" t="s">
        <v>15</v>
      </c>
      <c r="D1" s="8" t="s">
        <v>8</v>
      </c>
      <c r="F1" s="8" t="s">
        <v>9</v>
      </c>
      <c r="G1" s="8"/>
      <c r="H1" s="7"/>
      <c r="K1" s="8"/>
      <c r="M1" t="s">
        <v>8</v>
      </c>
      <c r="N1" t="s">
        <v>12</v>
      </c>
      <c r="O1" t="s">
        <v>13</v>
      </c>
    </row>
    <row r="2" spans="1:17" x14ac:dyDescent="0.2">
      <c r="A2" t="s">
        <v>1045</v>
      </c>
      <c r="B2" s="8" t="s">
        <v>17</v>
      </c>
      <c r="C2" t="s">
        <v>1045</v>
      </c>
      <c r="D2">
        <v>1</v>
      </c>
      <c r="E2" s="7"/>
      <c r="F2" t="str">
        <f>LOOKUP(DATOS!C10,TAGS!$D$2:$D$513,TAGS!$C$2:$C$513)</f>
        <v>SRV002.M3000CV004PAR_1.F_CV</v>
      </c>
      <c r="M2">
        <v>1</v>
      </c>
      <c r="N2" t="s">
        <v>10</v>
      </c>
      <c r="O2">
        <v>120000</v>
      </c>
    </row>
    <row r="3" spans="1:17" x14ac:dyDescent="0.2">
      <c r="A3" t="s">
        <v>1007</v>
      </c>
      <c r="B3" s="8" t="str">
        <f t="shared" ref="B3:B66" si="0">C3&amp;" - "&amp;A3</f>
        <v>SRV002.V1000BF001LOAD.F_CV - 1000BF001   Carga en Balanza</v>
      </c>
      <c r="C3" t="s">
        <v>501</v>
      </c>
      <c r="D3">
        <v>2</v>
      </c>
      <c r="F3" t="str">
        <f>LOOKUP(DATOS!D10,TAGS!$D$2:$D$513,TAGS!$C$2:$C$513)</f>
        <v>SRV002.M3000CV004PAR_0.F_CV</v>
      </c>
      <c r="M3">
        <v>2</v>
      </c>
      <c r="N3" t="s">
        <v>11</v>
      </c>
      <c r="O3">
        <v>3600000</v>
      </c>
    </row>
    <row r="4" spans="1:17" x14ac:dyDescent="0.2">
      <c r="A4" t="s">
        <v>21</v>
      </c>
      <c r="B4" s="8" t="str">
        <f t="shared" si="0"/>
        <v>SRV002.V1000BF001RATE.F_CV - 1000BF001   Flujo de Carga</v>
      </c>
      <c r="C4" t="s">
        <v>26</v>
      </c>
      <c r="D4">
        <v>3</v>
      </c>
      <c r="F4" t="str">
        <f>LOOKUP(DATOS!E10,TAGS!$D$2:$D$513,TAGS!$C$2:$C$513)</f>
        <v>SRV002.M3000CV004HRS.F_CV</v>
      </c>
    </row>
    <row r="5" spans="1:17" x14ac:dyDescent="0.2">
      <c r="A5" t="s">
        <v>1009</v>
      </c>
      <c r="B5" s="8" t="str">
        <f t="shared" si="0"/>
        <v>SRV002.V1000BF001PAR.F_CV - 1000BF001   Parcial de Balanza</v>
      </c>
      <c r="C5" t="s">
        <v>503</v>
      </c>
      <c r="D5">
        <v>4</v>
      </c>
      <c r="F5" t="str">
        <f>LOOKUP(DATOS!F10,TAGS!$D$2:$D$513,TAGS!$C$2:$C$513)</f>
        <v>SRV002.M3000CV004ACT.F_CV</v>
      </c>
      <c r="M5" s="15">
        <v>2</v>
      </c>
      <c r="N5" t="str">
        <f>LOOKUP(M5,M2:M3,N2:N3)</f>
        <v>Mensual</v>
      </c>
      <c r="O5">
        <f>LOOKUP(M5,M2:M3,O2:O3)</f>
        <v>3600000</v>
      </c>
    </row>
    <row r="6" spans="1:17" x14ac:dyDescent="0.2">
      <c r="A6" t="s">
        <v>1008</v>
      </c>
      <c r="B6" s="8" t="str">
        <f t="shared" si="0"/>
        <v>SRV002.V1000BF001OPER.F_CV - 1000BF001   Total Operador</v>
      </c>
      <c r="C6" t="s">
        <v>502</v>
      </c>
      <c r="D6">
        <v>5</v>
      </c>
      <c r="F6" t="str">
        <f>LOOKUP(DATOS!G10,TAGS!$D$2:$D$513,TAGS!$C$2:$C$513)</f>
        <v>SRV002.M3000CV004REF.F_CV</v>
      </c>
    </row>
    <row r="7" spans="1:17" x14ac:dyDescent="0.2">
      <c r="A7" t="s">
        <v>1011</v>
      </c>
      <c r="B7" s="8" t="str">
        <f t="shared" si="0"/>
        <v>SRV002.V1000BF001TOT.F_CV - 1000BF001   Totalizador de Balanza</v>
      </c>
      <c r="C7" t="s">
        <v>505</v>
      </c>
      <c r="D7">
        <v>6</v>
      </c>
      <c r="F7" t="str">
        <f>LOOKUP(DATOS!H10,TAGS!$D$2:$D$513,TAGS!$C$2:$C$513)</f>
        <v>SRV002.M3000CV004PAR_3.F_CV</v>
      </c>
    </row>
    <row r="8" spans="1:17" x14ac:dyDescent="0.2">
      <c r="A8" t="s">
        <v>1010</v>
      </c>
      <c r="B8" s="8" t="str">
        <f t="shared" si="0"/>
        <v>SRV002.V1000BF001SPD.F_CV - 1000BF001   Velocidad</v>
      </c>
      <c r="C8" t="s">
        <v>504</v>
      </c>
      <c r="D8">
        <v>7</v>
      </c>
      <c r="F8" t="str">
        <f>LOOKUP(DATOS!I10,TAGS!$D$2:$D$513,TAGS!$C$2:$C$513)</f>
        <v>SRV002.M3000CV004PAR_2.F_CV</v>
      </c>
    </row>
    <row r="9" spans="1:17" x14ac:dyDescent="0.2">
      <c r="A9" t="s">
        <v>623</v>
      </c>
      <c r="B9" s="8" t="str">
        <f t="shared" si="0"/>
        <v>SRV002.M1000CV001CURR_1.F_CV - 1000CV001   Corriente Fase A</v>
      </c>
      <c r="C9" t="s">
        <v>117</v>
      </c>
      <c r="D9">
        <v>8</v>
      </c>
    </row>
    <row r="10" spans="1:17" x14ac:dyDescent="0.2">
      <c r="A10" t="s">
        <v>624</v>
      </c>
      <c r="B10" s="8" t="str">
        <f t="shared" si="0"/>
        <v>SRV002.M1000CV001CURR_2.F_CV - 1000CV001   Corriente Fase B</v>
      </c>
      <c r="C10" t="s">
        <v>118</v>
      </c>
      <c r="D10">
        <v>9</v>
      </c>
    </row>
    <row r="11" spans="1:17" x14ac:dyDescent="0.2">
      <c r="A11" t="s">
        <v>625</v>
      </c>
      <c r="B11" s="8" t="str">
        <f t="shared" si="0"/>
        <v>SRV002.M1000CV001CURR_3.F_CV - 1000CV001   Corriente Fase C</v>
      </c>
      <c r="C11" t="s">
        <v>119</v>
      </c>
      <c r="D11">
        <v>10</v>
      </c>
      <c r="N11">
        <v>1</v>
      </c>
      <c r="O11">
        <v>2</v>
      </c>
    </row>
    <row r="12" spans="1:17" x14ac:dyDescent="0.2">
      <c r="A12" t="s">
        <v>622</v>
      </c>
      <c r="B12" s="8" t="str">
        <f t="shared" si="0"/>
        <v>SRV002.M1000CV001CURR_0.F_CV - 1000CV001   Corriente Promedio</v>
      </c>
      <c r="C12" t="s">
        <v>116</v>
      </c>
      <c r="D12">
        <v>11</v>
      </c>
      <c r="M12">
        <v>0</v>
      </c>
      <c r="N12" t="s">
        <v>10</v>
      </c>
      <c r="O12" t="s">
        <v>11</v>
      </c>
    </row>
    <row r="13" spans="1:17" x14ac:dyDescent="0.2">
      <c r="A13" t="s">
        <v>626</v>
      </c>
      <c r="B13" s="8" t="str">
        <f t="shared" si="0"/>
        <v>SRV002.M1000CV001HRS.F_CV - 1000CV001   Horometro</v>
      </c>
      <c r="C13" t="s">
        <v>120</v>
      </c>
      <c r="D13">
        <v>12</v>
      </c>
      <c r="M13">
        <v>1</v>
      </c>
      <c r="N13" t="s">
        <v>1039</v>
      </c>
      <c r="O13" t="s">
        <v>1041</v>
      </c>
      <c r="P13" t="str">
        <f>LOOKUP($M$5,$N$11:$O$11,N13:O13)</f>
        <v>Días</v>
      </c>
    </row>
    <row r="14" spans="1:17" x14ac:dyDescent="0.2">
      <c r="A14" t="s">
        <v>627</v>
      </c>
      <c r="B14" s="8" t="str">
        <f t="shared" si="0"/>
        <v>SRV002.M1000CV001POT_0.F_CV - 1000CV001   Potencia Activa</v>
      </c>
      <c r="C14" t="s">
        <v>121</v>
      </c>
      <c r="D14">
        <v>13</v>
      </c>
      <c r="M14">
        <v>2</v>
      </c>
      <c r="N14" t="s">
        <v>1040</v>
      </c>
      <c r="O14" t="s">
        <v>1039</v>
      </c>
      <c r="P14" t="str">
        <f>LOOKUP($M$5,$N$11:$O$11,N14:O14)</f>
        <v>Horas</v>
      </c>
    </row>
    <row r="15" spans="1:17" x14ac:dyDescent="0.2">
      <c r="A15" t="s">
        <v>628</v>
      </c>
      <c r="B15" s="8" t="str">
        <f t="shared" si="0"/>
        <v>SRV002.M1000CV001POT_1.F_CV - 1000CV001   Potencia Reactiva</v>
      </c>
      <c r="C15" t="s">
        <v>122</v>
      </c>
      <c r="D15">
        <v>14</v>
      </c>
    </row>
    <row r="16" spans="1:17" x14ac:dyDescent="0.2">
      <c r="A16" t="s">
        <v>629</v>
      </c>
      <c r="B16" s="8" t="str">
        <f t="shared" si="0"/>
        <v>SRV002.M1000CV001VOLT.F_CV - 1000CV001   Voltaje Promedio</v>
      </c>
      <c r="C16" t="s">
        <v>123</v>
      </c>
      <c r="D16">
        <v>15</v>
      </c>
      <c r="M16" s="15">
        <v>2</v>
      </c>
      <c r="P16" t="str">
        <f>LOOKUP(M16,M13:M14,P13:P14)</f>
        <v>Horas</v>
      </c>
      <c r="Q16">
        <f>IF(M5=1,IF(M16=1,3600000,60000),IF(M16=1,24*3600000,3600000))</f>
        <v>3600000</v>
      </c>
    </row>
    <row r="17" spans="1:4" x14ac:dyDescent="0.2">
      <c r="A17" t="s">
        <v>632</v>
      </c>
      <c r="B17" s="8" t="str">
        <f t="shared" si="0"/>
        <v>SRV002.M1000CV002CURR_1.F_CV - 1000CV002   Corriente Fase A AD</v>
      </c>
      <c r="C17" t="s">
        <v>126</v>
      </c>
      <c r="D17">
        <v>16</v>
      </c>
    </row>
    <row r="18" spans="1:4" x14ac:dyDescent="0.2">
      <c r="A18" t="s">
        <v>633</v>
      </c>
      <c r="B18" s="8" t="str">
        <f t="shared" si="0"/>
        <v>SRV002.M1000CV002CURR_2.F_CV - 1000CV002   Corriente Fase B AD</v>
      </c>
      <c r="C18" t="s">
        <v>127</v>
      </c>
      <c r="D18">
        <v>17</v>
      </c>
    </row>
    <row r="19" spans="1:4" x14ac:dyDescent="0.2">
      <c r="A19" t="s">
        <v>634</v>
      </c>
      <c r="B19" s="8" t="str">
        <f t="shared" si="0"/>
        <v>SRV002.M1000CV002CURR_3.F_CV - 1000CV002   Corriente Fase C AD</v>
      </c>
      <c r="C19" t="s">
        <v>128</v>
      </c>
      <c r="D19">
        <v>18</v>
      </c>
    </row>
    <row r="20" spans="1:4" x14ac:dyDescent="0.2">
      <c r="A20" t="s">
        <v>631</v>
      </c>
      <c r="B20" s="8" t="str">
        <f t="shared" si="0"/>
        <v>SRV002.M1000CV002CURR_0.F_CV - 1000CV002   Corriente Promedio AD</v>
      </c>
      <c r="C20" t="s">
        <v>125</v>
      </c>
      <c r="D20">
        <v>19</v>
      </c>
    </row>
    <row r="21" spans="1:4" x14ac:dyDescent="0.2">
      <c r="A21" t="s">
        <v>18</v>
      </c>
      <c r="B21" s="8" t="str">
        <f t="shared" si="0"/>
        <v>SRV002.M1000CV002PAR_1.F_CV - 1000CV002   Corriente salida del Motor</v>
      </c>
      <c r="C21" t="s">
        <v>23</v>
      </c>
      <c r="D21">
        <v>20</v>
      </c>
    </row>
    <row r="22" spans="1:4" x14ac:dyDescent="0.2">
      <c r="A22" t="s">
        <v>635</v>
      </c>
      <c r="B22" s="8" t="str">
        <f t="shared" si="0"/>
        <v>SRV002.M1000CV002CURR_4.F_CV - 1000CV002   Desbalance de Corriente AD</v>
      </c>
      <c r="C22" t="s">
        <v>129</v>
      </c>
      <c r="D22">
        <v>21</v>
      </c>
    </row>
    <row r="23" spans="1:4" x14ac:dyDescent="0.2">
      <c r="A23" t="s">
        <v>637</v>
      </c>
      <c r="B23" s="8" t="str">
        <f t="shared" si="0"/>
        <v>SRV002.M1000CV002PAR_0.F_CV - 1000CV002   Frecuencia del Motor</v>
      </c>
      <c r="C23" t="s">
        <v>131</v>
      </c>
      <c r="D23">
        <v>22</v>
      </c>
    </row>
    <row r="24" spans="1:4" x14ac:dyDescent="0.2">
      <c r="A24" t="s">
        <v>636</v>
      </c>
      <c r="B24" s="8" t="str">
        <f t="shared" si="0"/>
        <v>SRV002.M1000CV002HRS.F_CV - 1000CV002   Horometro</v>
      </c>
      <c r="C24" t="s">
        <v>130</v>
      </c>
      <c r="D24">
        <v>23</v>
      </c>
    </row>
    <row r="25" spans="1:4" x14ac:dyDescent="0.2">
      <c r="A25" t="s">
        <v>630</v>
      </c>
      <c r="B25" s="8" t="str">
        <f t="shared" si="0"/>
        <v>SRV002.M1000CV002ACT.F_CV - 1000CV002   Referencia Actual</v>
      </c>
      <c r="C25" t="s">
        <v>124</v>
      </c>
      <c r="D25">
        <v>24</v>
      </c>
    </row>
    <row r="26" spans="1:4" x14ac:dyDescent="0.2">
      <c r="A26" t="s">
        <v>640</v>
      </c>
      <c r="B26" s="8" t="str">
        <f t="shared" si="0"/>
        <v>SRV002.M1000CV002PAR_4.F_CV - 1000CV002   Referencia Local</v>
      </c>
      <c r="C26" t="s">
        <v>134</v>
      </c>
      <c r="D26">
        <v>25</v>
      </c>
    </row>
    <row r="27" spans="1:4" x14ac:dyDescent="0.2">
      <c r="A27" t="s">
        <v>641</v>
      </c>
      <c r="B27" s="8" t="str">
        <f t="shared" si="0"/>
        <v>SRV002.M1000CV002REF.F_CV - 1000CV002   Referencia Remoto</v>
      </c>
      <c r="C27" t="s">
        <v>135</v>
      </c>
      <c r="D27">
        <v>26</v>
      </c>
    </row>
    <row r="28" spans="1:4" x14ac:dyDescent="0.2">
      <c r="A28" t="s">
        <v>639</v>
      </c>
      <c r="B28" s="8" t="str">
        <f t="shared" si="0"/>
        <v>SRV002.M1000CV002PAR_3.F_CV - 1000CV002   Voltaje Bus DC del Motor</v>
      </c>
      <c r="C28" t="s">
        <v>133</v>
      </c>
      <c r="D28">
        <v>27</v>
      </c>
    </row>
    <row r="29" spans="1:4" x14ac:dyDescent="0.2">
      <c r="A29" t="s">
        <v>638</v>
      </c>
      <c r="B29" s="8" t="str">
        <f t="shared" si="0"/>
        <v>SRV002.M1000CV002PAR_2.F_CV - 1000CV002   Voltaje salida del Motor</v>
      </c>
      <c r="C29" t="s">
        <v>132</v>
      </c>
      <c r="D29">
        <v>28</v>
      </c>
    </row>
    <row r="30" spans="1:4" x14ac:dyDescent="0.2">
      <c r="A30" t="s">
        <v>642</v>
      </c>
      <c r="B30" s="8" t="str">
        <f t="shared" si="0"/>
        <v>SRV002.M1000EL001HRS.F_CV - 1000EL001   Horometro</v>
      </c>
      <c r="C30" t="s">
        <v>136</v>
      </c>
      <c r="D30">
        <v>29</v>
      </c>
    </row>
    <row r="31" spans="1:4" x14ac:dyDescent="0.2">
      <c r="A31" t="s">
        <v>644</v>
      </c>
      <c r="B31" s="8" t="str">
        <f t="shared" si="0"/>
        <v>SRV002.M1000VE001CURR_1.F_CV - 1000VE001   Corriente Fase A AD</v>
      </c>
      <c r="C31" t="s">
        <v>138</v>
      </c>
      <c r="D31">
        <v>30</v>
      </c>
    </row>
    <row r="32" spans="1:4" x14ac:dyDescent="0.2">
      <c r="A32" t="s">
        <v>645</v>
      </c>
      <c r="B32" s="8" t="str">
        <f t="shared" si="0"/>
        <v>SRV002.M1000VE001CURR_2.F_CV - 1000VE001   Corriente Fase B AD</v>
      </c>
      <c r="C32" t="s">
        <v>139</v>
      </c>
      <c r="D32">
        <v>31</v>
      </c>
    </row>
    <row r="33" spans="1:6" x14ac:dyDescent="0.2">
      <c r="A33" t="s">
        <v>646</v>
      </c>
      <c r="B33" s="8" t="str">
        <f t="shared" si="0"/>
        <v>SRV002.M1000VE001CURR_3.F_CV - 1000VE001   Corriente Fase C AD</v>
      </c>
      <c r="C33" t="s">
        <v>140</v>
      </c>
      <c r="D33">
        <v>32</v>
      </c>
    </row>
    <row r="34" spans="1:6" x14ac:dyDescent="0.2">
      <c r="A34" t="s">
        <v>643</v>
      </c>
      <c r="B34" s="8" t="str">
        <f t="shared" si="0"/>
        <v>SRV002.M1000VE001CURR_0.F_CV - 1000VE001   Corriente Promedio AD</v>
      </c>
      <c r="C34" t="s">
        <v>137</v>
      </c>
      <c r="D34">
        <v>33</v>
      </c>
    </row>
    <row r="35" spans="1:6" x14ac:dyDescent="0.2">
      <c r="A35" t="s">
        <v>647</v>
      </c>
      <c r="B35" s="8" t="str">
        <f t="shared" si="0"/>
        <v>SRV002.M1000VE001CURR_4.F_CV - 1000VE001   Desbalance de Corriente AD</v>
      </c>
      <c r="C35" t="s">
        <v>141</v>
      </c>
      <c r="D35">
        <v>34</v>
      </c>
      <c r="F35" s="9"/>
    </row>
    <row r="36" spans="1:6" x14ac:dyDescent="0.2">
      <c r="A36" t="s">
        <v>648</v>
      </c>
      <c r="B36" s="8" t="str">
        <f t="shared" si="0"/>
        <v>SRV002.M1000VE001HRS.F_CV - 1000VE001   Horometro</v>
      </c>
      <c r="C36" t="s">
        <v>142</v>
      </c>
      <c r="D36">
        <v>35</v>
      </c>
      <c r="F36" s="10"/>
    </row>
    <row r="37" spans="1:6" x14ac:dyDescent="0.2">
      <c r="A37" t="s">
        <v>650</v>
      </c>
      <c r="B37" s="8" t="str">
        <f t="shared" si="0"/>
        <v>SRV002.M1000VE002CURR_1.F_CV - 1000VE002   Corriente Fase A</v>
      </c>
      <c r="C37" t="s">
        <v>144</v>
      </c>
      <c r="D37">
        <v>36</v>
      </c>
      <c r="F37" s="9"/>
    </row>
    <row r="38" spans="1:6" x14ac:dyDescent="0.2">
      <c r="A38" t="s">
        <v>651</v>
      </c>
      <c r="B38" s="8" t="str">
        <f t="shared" si="0"/>
        <v>SRV002.M1000VE002CURR_2.F_CV - 1000VE002   Corriente Fase B</v>
      </c>
      <c r="C38" t="s">
        <v>145</v>
      </c>
      <c r="D38">
        <v>37</v>
      </c>
      <c r="F38" s="9"/>
    </row>
    <row r="39" spans="1:6" x14ac:dyDescent="0.2">
      <c r="A39" t="s">
        <v>652</v>
      </c>
      <c r="B39" s="8" t="str">
        <f t="shared" si="0"/>
        <v>SRV002.M1000VE002CURR_3.F_CV - 1000VE002   Corriente Fase C</v>
      </c>
      <c r="C39" t="s">
        <v>146</v>
      </c>
      <c r="D39">
        <v>38</v>
      </c>
      <c r="F39" s="9"/>
    </row>
    <row r="40" spans="1:6" x14ac:dyDescent="0.2">
      <c r="A40" t="s">
        <v>649</v>
      </c>
      <c r="B40" s="8" t="str">
        <f t="shared" si="0"/>
        <v>SRV002.M1000VE002CURR_0.F_CV - 1000VE002   Corriente Promedio</v>
      </c>
      <c r="C40" t="s">
        <v>143</v>
      </c>
      <c r="D40">
        <v>39</v>
      </c>
      <c r="F40" s="9"/>
    </row>
    <row r="41" spans="1:6" x14ac:dyDescent="0.2">
      <c r="A41" t="s">
        <v>653</v>
      </c>
      <c r="B41" s="8" t="str">
        <f t="shared" si="0"/>
        <v>SRV002.M1000VE002HRS.F_CV - 1000VE002   Horometro</v>
      </c>
      <c r="C41" t="s">
        <v>147</v>
      </c>
      <c r="D41">
        <v>40</v>
      </c>
      <c r="F41" s="9"/>
    </row>
    <row r="42" spans="1:6" x14ac:dyDescent="0.2">
      <c r="A42" t="s">
        <v>654</v>
      </c>
      <c r="B42" s="8" t="str">
        <f t="shared" si="0"/>
        <v>SRV002.M1000VE002POT_0.F_CV - 1000VE002   Potencia Activa</v>
      </c>
      <c r="C42" t="s">
        <v>148</v>
      </c>
      <c r="D42">
        <v>41</v>
      </c>
      <c r="F42" s="9"/>
    </row>
    <row r="43" spans="1:6" x14ac:dyDescent="0.2">
      <c r="A43" t="s">
        <v>655</v>
      </c>
      <c r="B43" s="8" t="str">
        <f t="shared" si="0"/>
        <v>SRV002.M1000VE002POT_1.F_CV - 1000VE002   Potencia Reactiva</v>
      </c>
      <c r="C43" t="s">
        <v>149</v>
      </c>
      <c r="D43">
        <v>42</v>
      </c>
      <c r="F43" s="9"/>
    </row>
    <row r="44" spans="1:6" x14ac:dyDescent="0.2">
      <c r="A44" t="s">
        <v>656</v>
      </c>
      <c r="B44" s="8" t="str">
        <f t="shared" si="0"/>
        <v>SRV002.M1000VE002VOLT.F_CV - 1000VE002   Voltaje Promedio</v>
      </c>
      <c r="C44" t="s">
        <v>150</v>
      </c>
      <c r="D44">
        <v>43</v>
      </c>
      <c r="F44" s="9"/>
    </row>
    <row r="45" spans="1:6" x14ac:dyDescent="0.2">
      <c r="A45" t="s">
        <v>658</v>
      </c>
      <c r="B45" s="8" t="str">
        <f t="shared" si="0"/>
        <v>SRV002.M1000VR002CURR_1.F_CV - 1000VR002   Corriente Fase A AD</v>
      </c>
      <c r="C45" t="s">
        <v>152</v>
      </c>
      <c r="D45">
        <v>44</v>
      </c>
      <c r="F45" s="9"/>
    </row>
    <row r="46" spans="1:6" x14ac:dyDescent="0.2">
      <c r="A46" t="s">
        <v>659</v>
      </c>
      <c r="B46" s="8" t="str">
        <f t="shared" si="0"/>
        <v>SRV002.M1000VR002CURR_2.F_CV - 1000VR002   Corriente Fase B AD</v>
      </c>
      <c r="C46" t="s">
        <v>153</v>
      </c>
      <c r="D46">
        <v>45</v>
      </c>
      <c r="F46" s="9"/>
    </row>
    <row r="47" spans="1:6" x14ac:dyDescent="0.2">
      <c r="A47" t="s">
        <v>660</v>
      </c>
      <c r="B47" s="8" t="str">
        <f t="shared" si="0"/>
        <v>SRV002.M1000VR002CURR_3.F_CV - 1000VR002   Corriente Fase C AD</v>
      </c>
      <c r="C47" t="s">
        <v>154</v>
      </c>
      <c r="D47">
        <v>46</v>
      </c>
      <c r="F47" s="9"/>
    </row>
    <row r="48" spans="1:6" x14ac:dyDescent="0.2">
      <c r="A48" t="s">
        <v>657</v>
      </c>
      <c r="B48" s="8" t="str">
        <f t="shared" si="0"/>
        <v>SRV002.M1000VR002CURR_0.F_CV - 1000VR002   Corriente Promedio AD</v>
      </c>
      <c r="C48" t="s">
        <v>151</v>
      </c>
      <c r="D48">
        <v>47</v>
      </c>
      <c r="F48" s="9"/>
    </row>
    <row r="49" spans="1:6" x14ac:dyDescent="0.2">
      <c r="A49" t="s">
        <v>661</v>
      </c>
      <c r="B49" s="8" t="str">
        <f t="shared" si="0"/>
        <v>SRV002.M1000VR002CURR_4.F_CV - 1000VR002   Desbalance de Corriente AD</v>
      </c>
      <c r="C49" t="s">
        <v>155</v>
      </c>
      <c r="D49">
        <v>48</v>
      </c>
      <c r="F49" s="6"/>
    </row>
    <row r="50" spans="1:6" x14ac:dyDescent="0.2">
      <c r="A50" t="s">
        <v>662</v>
      </c>
      <c r="B50" s="8" t="str">
        <f t="shared" si="0"/>
        <v>SRV002.M1000VR002HRS.F_CV - 1000VR002   Horometro</v>
      </c>
      <c r="C50" t="s">
        <v>156</v>
      </c>
      <c r="D50">
        <v>49</v>
      </c>
      <c r="F50" s="6"/>
    </row>
    <row r="51" spans="1:6" x14ac:dyDescent="0.2">
      <c r="A51" t="s">
        <v>664</v>
      </c>
      <c r="B51" s="8" t="str">
        <f t="shared" si="0"/>
        <v>SRV002.M1100FE001CURR_1.F_CV - 1100FE001   Corriente Fase A AD</v>
      </c>
      <c r="C51" t="s">
        <v>158</v>
      </c>
      <c r="D51">
        <v>50</v>
      </c>
      <c r="F51" s="6"/>
    </row>
    <row r="52" spans="1:6" x14ac:dyDescent="0.2">
      <c r="A52" t="s">
        <v>665</v>
      </c>
      <c r="B52" s="8" t="str">
        <f t="shared" si="0"/>
        <v>SRV002.M1100FE001CURR_2.F_CV - 1100FE001   Corriente Fase B AD</v>
      </c>
      <c r="C52" t="s">
        <v>159</v>
      </c>
      <c r="D52">
        <v>51</v>
      </c>
      <c r="F52" s="6"/>
    </row>
    <row r="53" spans="1:6" x14ac:dyDescent="0.2">
      <c r="A53" t="s">
        <v>666</v>
      </c>
      <c r="B53" s="8" t="str">
        <f t="shared" si="0"/>
        <v>SRV002.M1100FE001CURR_3.F_CV - 1100FE001   Corriente Fase C AD</v>
      </c>
      <c r="C53" t="s">
        <v>160</v>
      </c>
      <c r="D53">
        <v>52</v>
      </c>
      <c r="F53" s="6"/>
    </row>
    <row r="54" spans="1:6" x14ac:dyDescent="0.2">
      <c r="A54" t="s">
        <v>663</v>
      </c>
      <c r="B54" s="8" t="str">
        <f t="shared" si="0"/>
        <v>SRV002.M1100FE001CURR_0.F_CV - 1100FE001   Corriente Promedio AD</v>
      </c>
      <c r="C54" t="s">
        <v>157</v>
      </c>
      <c r="D54">
        <v>53</v>
      </c>
      <c r="F54" s="6"/>
    </row>
    <row r="55" spans="1:6" x14ac:dyDescent="0.2">
      <c r="A55" t="s">
        <v>14</v>
      </c>
      <c r="B55" s="8" t="str">
        <f t="shared" si="0"/>
        <v>SRV002.M1100FE001PAR_1.F_CV - 1100FE001   Corriente salida del Motor</v>
      </c>
      <c r="C55" t="s">
        <v>16</v>
      </c>
      <c r="D55">
        <v>54</v>
      </c>
      <c r="F55" s="6"/>
    </row>
    <row r="56" spans="1:6" x14ac:dyDescent="0.2">
      <c r="A56" t="s">
        <v>667</v>
      </c>
      <c r="B56" s="8" t="str">
        <f t="shared" si="0"/>
        <v>SRV002.M1100FE001CURR_4.F_CV - 1100FE001   Desbalance de Corriente AD</v>
      </c>
      <c r="C56" t="s">
        <v>161</v>
      </c>
      <c r="D56">
        <v>55</v>
      </c>
      <c r="F56" s="6"/>
    </row>
    <row r="57" spans="1:6" x14ac:dyDescent="0.2">
      <c r="A57" t="s">
        <v>669</v>
      </c>
      <c r="B57" s="8" t="str">
        <f t="shared" si="0"/>
        <v>SRV002.M1100FE001PAR_0.F_CV - 1100FE001   Frecuencia del Motor</v>
      </c>
      <c r="C57" t="s">
        <v>163</v>
      </c>
      <c r="D57">
        <v>56</v>
      </c>
      <c r="F57" s="6"/>
    </row>
    <row r="58" spans="1:6" x14ac:dyDescent="0.2">
      <c r="A58" t="s">
        <v>668</v>
      </c>
      <c r="B58" s="8" t="str">
        <f t="shared" si="0"/>
        <v>SRV002.M1100FE001HRS.F_CV - 1100FE001   Horometro</v>
      </c>
      <c r="C58" t="s">
        <v>162</v>
      </c>
      <c r="D58">
        <v>57</v>
      </c>
      <c r="F58" s="6"/>
    </row>
    <row r="59" spans="1:6" x14ac:dyDescent="0.2">
      <c r="A59" t="s">
        <v>672</v>
      </c>
      <c r="B59" s="8" t="str">
        <f t="shared" si="0"/>
        <v>SRV002.M1100FE001PAR_4.F_CV - 1100FE001   Referencia Local</v>
      </c>
      <c r="C59" t="s">
        <v>166</v>
      </c>
      <c r="D59">
        <v>58</v>
      </c>
      <c r="F59" s="6"/>
    </row>
    <row r="60" spans="1:6" x14ac:dyDescent="0.2">
      <c r="A60" t="s">
        <v>673</v>
      </c>
      <c r="B60" s="8" t="str">
        <f t="shared" si="0"/>
        <v>SRV002.M1100FE001REF.F_CV - 1100FE001   Referencia Remoto</v>
      </c>
      <c r="C60" t="s">
        <v>167</v>
      </c>
      <c r="D60">
        <v>59</v>
      </c>
      <c r="F60" s="6"/>
    </row>
    <row r="61" spans="1:6" x14ac:dyDescent="0.2">
      <c r="A61" t="s">
        <v>671</v>
      </c>
      <c r="B61" s="8" t="str">
        <f t="shared" si="0"/>
        <v>SRV002.M1100FE001PAR_3.F_CV - 1100FE001   Voltaje Bus DC del Motor</v>
      </c>
      <c r="C61" t="s">
        <v>165</v>
      </c>
      <c r="D61">
        <v>60</v>
      </c>
      <c r="F61" s="6"/>
    </row>
    <row r="62" spans="1:6" x14ac:dyDescent="0.2">
      <c r="A62" t="s">
        <v>670</v>
      </c>
      <c r="B62" s="8" t="str">
        <f t="shared" si="0"/>
        <v>SRV002.M1100FE001PAR_2.F_CV - 1100FE001   Voltaje salida del Motor</v>
      </c>
      <c r="C62" t="s">
        <v>164</v>
      </c>
      <c r="D62">
        <v>61</v>
      </c>
      <c r="F62" s="6"/>
    </row>
    <row r="63" spans="1:6" x14ac:dyDescent="0.2">
      <c r="A63" t="s">
        <v>675</v>
      </c>
      <c r="B63" s="8" t="str">
        <f t="shared" si="0"/>
        <v>SRV002.M1200BA001CURR_1.F_CV - 1200BA001   Corriente Fase A AD</v>
      </c>
      <c r="C63" t="s">
        <v>169</v>
      </c>
      <c r="D63">
        <v>62</v>
      </c>
      <c r="F63" s="6"/>
    </row>
    <row r="64" spans="1:6" x14ac:dyDescent="0.2">
      <c r="A64" t="s">
        <v>676</v>
      </c>
      <c r="B64" s="8" t="str">
        <f t="shared" si="0"/>
        <v>SRV002.M1200BA001CURR_2.F_CV - 1200BA001   Corriente Fase B AD</v>
      </c>
      <c r="C64" t="s">
        <v>170</v>
      </c>
      <c r="D64">
        <v>63</v>
      </c>
      <c r="F64" s="6"/>
    </row>
    <row r="65" spans="1:6" x14ac:dyDescent="0.2">
      <c r="A65" t="s">
        <v>677</v>
      </c>
      <c r="B65" s="8" t="str">
        <f t="shared" si="0"/>
        <v>SRV002.M1200BA001CURR_3.F_CV - 1200BA001   Corriente Fase C AD</v>
      </c>
      <c r="C65" t="s">
        <v>171</v>
      </c>
      <c r="D65">
        <v>64</v>
      </c>
      <c r="F65" s="6"/>
    </row>
    <row r="66" spans="1:6" x14ac:dyDescent="0.2">
      <c r="A66" t="s">
        <v>674</v>
      </c>
      <c r="B66" s="8" t="str">
        <f t="shared" si="0"/>
        <v>SRV002.M1200BA001CURR_0.F_CV - 1200BA001   Corriente Promedio AD</v>
      </c>
      <c r="C66" t="s">
        <v>168</v>
      </c>
      <c r="D66">
        <v>65</v>
      </c>
      <c r="F66" s="6"/>
    </row>
    <row r="67" spans="1:6" x14ac:dyDescent="0.2">
      <c r="A67" t="s">
        <v>678</v>
      </c>
      <c r="B67" s="8" t="str">
        <f t="shared" ref="B67:B130" si="1">C67&amp;" - "&amp;A67</f>
        <v>SRV002.M1200BA001HRS.F_CV - 1200BA001   Horometro</v>
      </c>
      <c r="C67" t="s">
        <v>172</v>
      </c>
      <c r="D67">
        <v>66</v>
      </c>
      <c r="F67" s="6"/>
    </row>
    <row r="68" spans="1:6" x14ac:dyDescent="0.2">
      <c r="A68" t="s">
        <v>680</v>
      </c>
      <c r="B68" s="8" t="str">
        <f t="shared" si="1"/>
        <v>SRV002.M1200BA002CURR_1.F_CV - 1200BA002   Corriente Fase A AD</v>
      </c>
      <c r="C68" t="s">
        <v>174</v>
      </c>
      <c r="D68">
        <v>67</v>
      </c>
      <c r="F68" s="6"/>
    </row>
    <row r="69" spans="1:6" x14ac:dyDescent="0.2">
      <c r="A69" t="s">
        <v>681</v>
      </c>
      <c r="B69" s="8" t="str">
        <f t="shared" si="1"/>
        <v>SRV002.M1200BA002CURR_2.F_CV - 1200BA002   Corriente Fase B AD</v>
      </c>
      <c r="C69" t="s">
        <v>175</v>
      </c>
      <c r="D69">
        <v>68</v>
      </c>
      <c r="F69" s="6"/>
    </row>
    <row r="70" spans="1:6" x14ac:dyDescent="0.2">
      <c r="A70" t="s">
        <v>682</v>
      </c>
      <c r="B70" s="8" t="str">
        <f t="shared" si="1"/>
        <v>SRV002.M1200BA002CURR_3.F_CV - 1200BA002   Corriente Fase C AD</v>
      </c>
      <c r="C70" t="s">
        <v>176</v>
      </c>
      <c r="D70">
        <v>69</v>
      </c>
      <c r="F70" s="6"/>
    </row>
    <row r="71" spans="1:6" x14ac:dyDescent="0.2">
      <c r="A71" t="s">
        <v>679</v>
      </c>
      <c r="B71" s="8" t="str">
        <f t="shared" si="1"/>
        <v>SRV002.M1200BA002CURR_0.F_CV - 1200BA002   Corriente Promedio AD</v>
      </c>
      <c r="C71" t="s">
        <v>173</v>
      </c>
      <c r="D71">
        <v>70</v>
      </c>
      <c r="F71" s="6"/>
    </row>
    <row r="72" spans="1:6" x14ac:dyDescent="0.2">
      <c r="A72" t="s">
        <v>683</v>
      </c>
      <c r="B72" s="8" t="str">
        <f t="shared" si="1"/>
        <v>SRV002.M1200BA002HRS.F_CV - 1200BA002   Horometro</v>
      </c>
      <c r="C72" t="s">
        <v>177</v>
      </c>
      <c r="D72">
        <v>71</v>
      </c>
      <c r="F72" s="6"/>
    </row>
    <row r="73" spans="1:6" x14ac:dyDescent="0.2">
      <c r="A73" t="s">
        <v>685</v>
      </c>
      <c r="B73" s="8" t="str">
        <f t="shared" si="1"/>
        <v>SRV002.M1200BA003CURR_1.F_CV - 1200BA003   Corriente Fase A AD</v>
      </c>
      <c r="C73" t="s">
        <v>179</v>
      </c>
      <c r="D73">
        <v>72</v>
      </c>
      <c r="F73" s="6"/>
    </row>
    <row r="74" spans="1:6" x14ac:dyDescent="0.2">
      <c r="A74" t="s">
        <v>686</v>
      </c>
      <c r="B74" s="8" t="str">
        <f t="shared" si="1"/>
        <v>SRV002.M1200BA003CURR_2.F_CV - 1200BA003   Corriente Fase B AD</v>
      </c>
      <c r="C74" t="s">
        <v>180</v>
      </c>
      <c r="D74">
        <v>73</v>
      </c>
      <c r="F74" s="6"/>
    </row>
    <row r="75" spans="1:6" x14ac:dyDescent="0.2">
      <c r="A75" t="s">
        <v>687</v>
      </c>
      <c r="B75" s="8" t="str">
        <f t="shared" si="1"/>
        <v>SRV002.M1200BA003CURR_3.F_CV - 1200BA003   Corriente Fase C AD</v>
      </c>
      <c r="C75" t="s">
        <v>181</v>
      </c>
      <c r="D75">
        <v>74</v>
      </c>
      <c r="F75" s="6"/>
    </row>
    <row r="76" spans="1:6" x14ac:dyDescent="0.2">
      <c r="A76" t="s">
        <v>684</v>
      </c>
      <c r="B76" s="8" t="str">
        <f t="shared" si="1"/>
        <v>SRV002.M1200BA003CURR_0.F_CV - 1200BA003   Corriente Promedio AD</v>
      </c>
      <c r="C76" t="s">
        <v>178</v>
      </c>
      <c r="D76">
        <v>75</v>
      </c>
      <c r="F76" s="6"/>
    </row>
    <row r="77" spans="1:6" x14ac:dyDescent="0.2">
      <c r="A77" t="s">
        <v>688</v>
      </c>
      <c r="B77" s="8" t="str">
        <f t="shared" si="1"/>
        <v>SRV002.M1200BA003HRS.F_CV - 1200BA003   Horometro</v>
      </c>
      <c r="C77" t="s">
        <v>182</v>
      </c>
      <c r="D77">
        <v>76</v>
      </c>
      <c r="F77" s="6"/>
    </row>
    <row r="78" spans="1:6" x14ac:dyDescent="0.2">
      <c r="A78" t="s">
        <v>690</v>
      </c>
      <c r="B78" s="8" t="str">
        <f t="shared" si="1"/>
        <v>SRV002.M1200BA004CURR_1.F_CV - 1200BA004   Corriente Fase A AD</v>
      </c>
      <c r="C78" t="s">
        <v>184</v>
      </c>
      <c r="D78">
        <v>77</v>
      </c>
      <c r="F78" s="6"/>
    </row>
    <row r="79" spans="1:6" x14ac:dyDescent="0.2">
      <c r="A79" t="s">
        <v>691</v>
      </c>
      <c r="B79" s="8" t="str">
        <f t="shared" si="1"/>
        <v>SRV002.M1200BA004CURR_2.F_CV - 1200BA004   Corriente Fase B AD</v>
      </c>
      <c r="C79" t="s">
        <v>185</v>
      </c>
      <c r="D79">
        <v>78</v>
      </c>
      <c r="F79" s="6"/>
    </row>
    <row r="80" spans="1:6" x14ac:dyDescent="0.2">
      <c r="A80" t="s">
        <v>692</v>
      </c>
      <c r="B80" s="8" t="str">
        <f t="shared" si="1"/>
        <v>SRV002.M1200BA004CURR_3.F_CV - 1200BA004   Corriente Fase C AD</v>
      </c>
      <c r="C80" t="s">
        <v>186</v>
      </c>
      <c r="D80">
        <v>79</v>
      </c>
      <c r="F80" s="6"/>
    </row>
    <row r="81" spans="1:6" x14ac:dyDescent="0.2">
      <c r="A81" t="s">
        <v>689</v>
      </c>
      <c r="B81" s="8" t="str">
        <f t="shared" si="1"/>
        <v>SRV002.M1200BA004CURR_0.F_CV - 1200BA004   Corriente Promedio AD</v>
      </c>
      <c r="C81" t="s">
        <v>183</v>
      </c>
      <c r="D81">
        <v>80</v>
      </c>
      <c r="F81" s="6"/>
    </row>
    <row r="82" spans="1:6" x14ac:dyDescent="0.2">
      <c r="A82" t="s">
        <v>693</v>
      </c>
      <c r="B82" s="8" t="str">
        <f t="shared" si="1"/>
        <v>SRV002.M1200BA004HRS.F_CV - 1200BA004   Horometro</v>
      </c>
      <c r="C82" t="s">
        <v>187</v>
      </c>
      <c r="D82">
        <v>81</v>
      </c>
      <c r="F82" s="6"/>
    </row>
    <row r="83" spans="1:6" x14ac:dyDescent="0.2">
      <c r="A83" t="s">
        <v>695</v>
      </c>
      <c r="B83" s="8" t="str">
        <f t="shared" si="1"/>
        <v>SRV002.M1200BA005CURR_1.F_CV - 1200BA005   Corriente Fase A AD</v>
      </c>
      <c r="C83" t="s">
        <v>189</v>
      </c>
      <c r="D83">
        <v>82</v>
      </c>
      <c r="F83" s="6"/>
    </row>
    <row r="84" spans="1:6" x14ac:dyDescent="0.2">
      <c r="A84" t="s">
        <v>696</v>
      </c>
      <c r="B84" s="8" t="str">
        <f t="shared" si="1"/>
        <v>SRV002.M1200BA005CURR_2.F_CV - 1200BA005   Corriente Fase B AD</v>
      </c>
      <c r="C84" t="s">
        <v>190</v>
      </c>
      <c r="D84">
        <v>83</v>
      </c>
      <c r="F84" s="6"/>
    </row>
    <row r="85" spans="1:6" x14ac:dyDescent="0.2">
      <c r="A85" t="s">
        <v>697</v>
      </c>
      <c r="B85" s="8" t="str">
        <f t="shared" si="1"/>
        <v>SRV002.M1200BA005CURR_3.F_CV - 1200BA005   Corriente Fase C AD</v>
      </c>
      <c r="C85" t="s">
        <v>191</v>
      </c>
      <c r="D85">
        <v>84</v>
      </c>
      <c r="F85" s="6"/>
    </row>
    <row r="86" spans="1:6" x14ac:dyDescent="0.2">
      <c r="A86" t="s">
        <v>694</v>
      </c>
      <c r="B86" s="8" t="str">
        <f t="shared" si="1"/>
        <v>SRV002.M1200BA005CURR_0.F_CV - 1200BA005   Corriente Promedio AD</v>
      </c>
      <c r="C86" t="s">
        <v>188</v>
      </c>
      <c r="D86">
        <v>85</v>
      </c>
      <c r="F86" s="6"/>
    </row>
    <row r="87" spans="1:6" x14ac:dyDescent="0.2">
      <c r="A87" t="s">
        <v>698</v>
      </c>
      <c r="B87" s="8" t="str">
        <f t="shared" si="1"/>
        <v>SRV002.M1200BA005HRS.F_CV - 1200BA005   Horometro</v>
      </c>
      <c r="C87" t="s">
        <v>192</v>
      </c>
      <c r="D87">
        <v>86</v>
      </c>
      <c r="F87" s="6"/>
    </row>
    <row r="88" spans="1:6" x14ac:dyDescent="0.2">
      <c r="A88" t="s">
        <v>700</v>
      </c>
      <c r="B88" s="8" t="str">
        <f t="shared" si="1"/>
        <v>SRV002.M1200BS001CURR_1.F_CV - 1200BS001   Corriente Fase A AD</v>
      </c>
      <c r="C88" t="s">
        <v>194</v>
      </c>
      <c r="D88">
        <v>87</v>
      </c>
      <c r="F88" s="6"/>
    </row>
    <row r="89" spans="1:6" x14ac:dyDescent="0.2">
      <c r="A89" t="s">
        <v>701</v>
      </c>
      <c r="B89" s="8" t="str">
        <f t="shared" si="1"/>
        <v>SRV002.M1200BS001CURR_2.F_CV - 1200BS001   Corriente Fase B AD</v>
      </c>
      <c r="C89" t="s">
        <v>195</v>
      </c>
      <c r="D89">
        <v>88</v>
      </c>
      <c r="F89" s="6"/>
    </row>
    <row r="90" spans="1:6" x14ac:dyDescent="0.2">
      <c r="A90" t="s">
        <v>702</v>
      </c>
      <c r="B90" s="8" t="str">
        <f t="shared" si="1"/>
        <v>SRV002.M1200BS001CURR_3.F_CV - 1200BS001   Corriente Fase C AD</v>
      </c>
      <c r="C90" t="s">
        <v>196</v>
      </c>
      <c r="D90">
        <v>89</v>
      </c>
      <c r="F90" s="6"/>
    </row>
    <row r="91" spans="1:6" x14ac:dyDescent="0.2">
      <c r="A91" t="s">
        <v>699</v>
      </c>
      <c r="B91" s="8" t="str">
        <f t="shared" si="1"/>
        <v>SRV002.M1200BS001CURR_0.F_CV - 1200BS001   Corriente Promedio AD</v>
      </c>
      <c r="C91" t="s">
        <v>193</v>
      </c>
      <c r="D91">
        <v>90</v>
      </c>
      <c r="F91" s="6"/>
    </row>
    <row r="92" spans="1:6" x14ac:dyDescent="0.2">
      <c r="A92" t="s">
        <v>703</v>
      </c>
      <c r="B92" s="8" t="str">
        <f t="shared" si="1"/>
        <v>SRV002.M1200BS001HRS.F_CV - 1200BS001   Horometro</v>
      </c>
      <c r="C92" t="s">
        <v>197</v>
      </c>
      <c r="D92">
        <v>91</v>
      </c>
      <c r="F92" s="6"/>
    </row>
    <row r="93" spans="1:6" x14ac:dyDescent="0.2">
      <c r="A93" t="s">
        <v>705</v>
      </c>
      <c r="B93" s="8" t="str">
        <f t="shared" si="1"/>
        <v>SRV002.M1200BS002CURR_1.F_CV - 1200BS002   Corriente Fase A AD</v>
      </c>
      <c r="C93" t="s">
        <v>199</v>
      </c>
      <c r="D93">
        <v>92</v>
      </c>
      <c r="F93" s="6"/>
    </row>
    <row r="94" spans="1:6" x14ac:dyDescent="0.2">
      <c r="A94" t="s">
        <v>706</v>
      </c>
      <c r="B94" s="8" t="str">
        <f t="shared" si="1"/>
        <v>SRV002.M1200BS002CURR_2.F_CV - 1200BS002   Corriente Fase B AD</v>
      </c>
      <c r="C94" t="s">
        <v>200</v>
      </c>
      <c r="D94">
        <v>93</v>
      </c>
      <c r="F94" s="6"/>
    </row>
    <row r="95" spans="1:6" x14ac:dyDescent="0.2">
      <c r="A95" t="s">
        <v>707</v>
      </c>
      <c r="B95" s="8" t="str">
        <f t="shared" si="1"/>
        <v>SRV002.M1200BS002CURR_3.F_CV - 1200BS002   Corriente Fase C AD</v>
      </c>
      <c r="C95" t="s">
        <v>201</v>
      </c>
      <c r="D95">
        <v>94</v>
      </c>
      <c r="F95" s="6"/>
    </row>
    <row r="96" spans="1:6" x14ac:dyDescent="0.2">
      <c r="A96" t="s">
        <v>704</v>
      </c>
      <c r="B96" s="8" t="str">
        <f t="shared" si="1"/>
        <v>SRV002.M1200BS002CURR_0.F_CV - 1200BS002   Corriente Promedio AD</v>
      </c>
      <c r="C96" t="s">
        <v>198</v>
      </c>
      <c r="D96">
        <v>95</v>
      </c>
      <c r="F96" s="6"/>
    </row>
    <row r="97" spans="1:6" x14ac:dyDescent="0.2">
      <c r="A97" t="s">
        <v>708</v>
      </c>
      <c r="B97" s="8" t="str">
        <f t="shared" si="1"/>
        <v>SRV002.M1200BS002HRS.F_CV - 1200BS002   Horometro</v>
      </c>
      <c r="C97" t="s">
        <v>202</v>
      </c>
      <c r="D97">
        <v>96</v>
      </c>
      <c r="F97" s="6"/>
    </row>
    <row r="98" spans="1:6" x14ac:dyDescent="0.2">
      <c r="A98" t="s">
        <v>710</v>
      </c>
      <c r="B98" s="8" t="str">
        <f t="shared" si="1"/>
        <v>SRV002.M1200ES001CURR_1.F_CV - 1200ES001   Corriente Fase A AD</v>
      </c>
      <c r="C98" t="s">
        <v>204</v>
      </c>
      <c r="D98">
        <v>97</v>
      </c>
      <c r="F98" s="6"/>
    </row>
    <row r="99" spans="1:6" x14ac:dyDescent="0.2">
      <c r="A99" t="s">
        <v>711</v>
      </c>
      <c r="B99" s="8" t="str">
        <f t="shared" si="1"/>
        <v>SRV002.M1200ES001CURR_2.F_CV - 1200ES001   Corriente Fase B AD</v>
      </c>
      <c r="C99" t="s">
        <v>205</v>
      </c>
      <c r="D99">
        <v>98</v>
      </c>
      <c r="F99" s="6"/>
    </row>
    <row r="100" spans="1:6" x14ac:dyDescent="0.2">
      <c r="A100" t="s">
        <v>712</v>
      </c>
      <c r="B100" s="8" t="str">
        <f t="shared" si="1"/>
        <v>SRV002.M1200ES001CURR_3.F_CV - 1200ES001   Corriente Fase C AD</v>
      </c>
      <c r="C100" t="s">
        <v>206</v>
      </c>
      <c r="D100">
        <v>99</v>
      </c>
      <c r="F100" s="6"/>
    </row>
    <row r="101" spans="1:6" x14ac:dyDescent="0.2">
      <c r="A101" t="s">
        <v>709</v>
      </c>
      <c r="B101" s="8" t="str">
        <f t="shared" si="1"/>
        <v>SRV002.M1200ES001CURR_0.F_CV - 1200ES001   Corriente Promedio AD</v>
      </c>
      <c r="C101" t="s">
        <v>203</v>
      </c>
      <c r="D101">
        <v>100</v>
      </c>
      <c r="F101" s="6"/>
    </row>
    <row r="102" spans="1:6" x14ac:dyDescent="0.2">
      <c r="A102" t="s">
        <v>713</v>
      </c>
      <c r="B102" s="8" t="str">
        <f t="shared" si="1"/>
        <v>SRV002.M1200ES001HRS.F_CV - 1200ES001   Horometro</v>
      </c>
      <c r="C102" t="s">
        <v>207</v>
      </c>
      <c r="D102">
        <v>101</v>
      </c>
      <c r="F102" s="6"/>
    </row>
    <row r="103" spans="1:6" x14ac:dyDescent="0.2">
      <c r="A103" t="s">
        <v>716</v>
      </c>
      <c r="B103" s="8" t="str">
        <f t="shared" si="1"/>
        <v>SRV002.M1200FE001CURR_1.F_CV - 1200FE001   Corriente Fase A AD</v>
      </c>
      <c r="C103" t="s">
        <v>210</v>
      </c>
      <c r="D103">
        <v>102</v>
      </c>
      <c r="F103" s="6"/>
    </row>
    <row r="104" spans="1:6" x14ac:dyDescent="0.2">
      <c r="A104" t="s">
        <v>717</v>
      </c>
      <c r="B104" s="8" t="str">
        <f t="shared" si="1"/>
        <v>SRV002.M1200FE001CURR_2.F_CV - 1200FE001   Corriente Fase B AD</v>
      </c>
      <c r="C104" t="s">
        <v>211</v>
      </c>
      <c r="D104">
        <v>103</v>
      </c>
      <c r="F104" s="6"/>
    </row>
    <row r="105" spans="1:6" x14ac:dyDescent="0.2">
      <c r="A105" t="s">
        <v>718</v>
      </c>
      <c r="B105" s="8" t="str">
        <f t="shared" si="1"/>
        <v>SRV002.M1200FE001CURR_3.F_CV - 1200FE001   Corriente Fase C AD</v>
      </c>
      <c r="C105" t="s">
        <v>212</v>
      </c>
      <c r="D105">
        <v>104</v>
      </c>
      <c r="F105" s="6"/>
    </row>
    <row r="106" spans="1:6" x14ac:dyDescent="0.2">
      <c r="A106" t="s">
        <v>715</v>
      </c>
      <c r="B106" s="8" t="str">
        <f t="shared" si="1"/>
        <v>SRV002.M1200FE001CURR_0.F_CV - 1200FE001   Corriente Promedio AD</v>
      </c>
      <c r="C106" t="s">
        <v>209</v>
      </c>
      <c r="D106">
        <v>105</v>
      </c>
      <c r="F106" s="6"/>
    </row>
    <row r="107" spans="1:6" x14ac:dyDescent="0.2">
      <c r="A107" t="s">
        <v>722</v>
      </c>
      <c r="B107" s="8" t="str">
        <f t="shared" si="1"/>
        <v>SRV002.M1200FE001PAR_1.F_CV - 1200FE001   Corriente salida del Motor</v>
      </c>
      <c r="C107" t="s">
        <v>216</v>
      </c>
      <c r="D107">
        <v>106</v>
      </c>
      <c r="F107" s="6"/>
    </row>
    <row r="108" spans="1:6" x14ac:dyDescent="0.2">
      <c r="A108" t="s">
        <v>719</v>
      </c>
      <c r="B108" s="8" t="str">
        <f t="shared" si="1"/>
        <v>SRV002.M1200FE001CURR_4.F_CV - 1200FE001   Desbalance de Corriente AD</v>
      </c>
      <c r="C108" t="s">
        <v>213</v>
      </c>
      <c r="D108">
        <v>107</v>
      </c>
      <c r="F108" s="6"/>
    </row>
    <row r="109" spans="1:6" x14ac:dyDescent="0.2">
      <c r="A109" t="s">
        <v>721</v>
      </c>
      <c r="B109" s="8" t="str">
        <f t="shared" si="1"/>
        <v>SRV002.M1200FE001PAR_0.F_CV - 1200FE001   Frecuencia del Motor</v>
      </c>
      <c r="C109" t="s">
        <v>215</v>
      </c>
      <c r="D109">
        <v>108</v>
      </c>
      <c r="F109" s="6"/>
    </row>
    <row r="110" spans="1:6" x14ac:dyDescent="0.2">
      <c r="A110" t="s">
        <v>720</v>
      </c>
      <c r="B110" s="8" t="str">
        <f t="shared" si="1"/>
        <v>SRV002.M1200FE001HRS.F_CV - 1200FE001   Horometro</v>
      </c>
      <c r="C110" t="s">
        <v>214</v>
      </c>
      <c r="D110">
        <v>109</v>
      </c>
      <c r="F110" s="6"/>
    </row>
    <row r="111" spans="1:6" x14ac:dyDescent="0.2">
      <c r="A111" t="s">
        <v>714</v>
      </c>
      <c r="B111" s="8" t="str">
        <f t="shared" si="1"/>
        <v>SRV002.M1200FE001ACT.F_CV - 1200FE001   Referencia Actual</v>
      </c>
      <c r="C111" t="s">
        <v>208</v>
      </c>
      <c r="D111">
        <v>110</v>
      </c>
      <c r="F111" s="6"/>
    </row>
    <row r="112" spans="1:6" x14ac:dyDescent="0.2">
      <c r="A112" t="s">
        <v>725</v>
      </c>
      <c r="B112" s="8" t="str">
        <f t="shared" si="1"/>
        <v>SRV002.M1200FE001PAR_4.F_CV - 1200FE001   Referencia Local</v>
      </c>
      <c r="C112" t="s">
        <v>219</v>
      </c>
      <c r="D112">
        <v>111</v>
      </c>
      <c r="F112" s="6"/>
    </row>
    <row r="113" spans="1:6" x14ac:dyDescent="0.2">
      <c r="A113" t="s">
        <v>726</v>
      </c>
      <c r="B113" s="8" t="str">
        <f t="shared" si="1"/>
        <v>SRV002.M1200FE001REF.F_CV - 1200FE001   Referencia Remoto</v>
      </c>
      <c r="C113" t="s">
        <v>220</v>
      </c>
      <c r="D113">
        <v>112</v>
      </c>
      <c r="F113" s="6"/>
    </row>
    <row r="114" spans="1:6" x14ac:dyDescent="0.2">
      <c r="A114" t="s">
        <v>724</v>
      </c>
      <c r="B114" s="8" t="str">
        <f t="shared" si="1"/>
        <v>SRV002.M1200FE001PAR_3.F_CV - 1200FE001   Voltaje Bus DC del Motor</v>
      </c>
      <c r="C114" t="s">
        <v>218</v>
      </c>
      <c r="D114">
        <v>113</v>
      </c>
      <c r="F114" s="6"/>
    </row>
    <row r="115" spans="1:6" x14ac:dyDescent="0.2">
      <c r="A115" t="s">
        <v>723</v>
      </c>
      <c r="B115" s="8" t="str">
        <f t="shared" si="1"/>
        <v>SRV002.M1200FE001PAR_2.F_CV - 1200FE001   Voltaje salida del Motor</v>
      </c>
      <c r="C115" t="s">
        <v>217</v>
      </c>
      <c r="D115">
        <v>114</v>
      </c>
      <c r="F115" s="6"/>
    </row>
    <row r="116" spans="1:6" x14ac:dyDescent="0.2">
      <c r="A116" t="s">
        <v>728</v>
      </c>
      <c r="B116" s="8" t="str">
        <f t="shared" si="1"/>
        <v>SRV002.M1200UM010CURR_1.F_CV - 1200UM010   Corriente Fase A AD</v>
      </c>
      <c r="C116" t="s">
        <v>222</v>
      </c>
      <c r="D116">
        <v>115</v>
      </c>
      <c r="F116" s="6"/>
    </row>
    <row r="117" spans="1:6" x14ac:dyDescent="0.2">
      <c r="A117" t="s">
        <v>729</v>
      </c>
      <c r="B117" s="8" t="str">
        <f t="shared" si="1"/>
        <v>SRV002.M1200UM010CURR_2.F_CV - 1200UM010   Corriente Fase B AD</v>
      </c>
      <c r="C117" t="s">
        <v>223</v>
      </c>
      <c r="D117">
        <v>116</v>
      </c>
      <c r="F117" s="6"/>
    </row>
    <row r="118" spans="1:6" x14ac:dyDescent="0.2">
      <c r="A118" t="s">
        <v>730</v>
      </c>
      <c r="B118" s="8" t="str">
        <f t="shared" si="1"/>
        <v>SRV002.M1200UM010CURR_3.F_CV - 1200UM010   Corriente Fase C AD</v>
      </c>
      <c r="C118" t="s">
        <v>224</v>
      </c>
      <c r="D118">
        <v>117</v>
      </c>
      <c r="F118" s="6"/>
    </row>
    <row r="119" spans="1:6" x14ac:dyDescent="0.2">
      <c r="A119" t="s">
        <v>727</v>
      </c>
      <c r="B119" s="8" t="str">
        <f t="shared" si="1"/>
        <v>SRV002.M1200UM010CURR_0.F_CV - 1200UM010   Corriente Promedio AD</v>
      </c>
      <c r="C119" t="s">
        <v>221</v>
      </c>
      <c r="D119">
        <v>118</v>
      </c>
      <c r="F119" s="6"/>
    </row>
    <row r="120" spans="1:6" x14ac:dyDescent="0.2">
      <c r="A120" t="s">
        <v>731</v>
      </c>
      <c r="B120" s="8" t="str">
        <f t="shared" si="1"/>
        <v>SRV002.M1200UM010HRS.F_CV - 1200UM010   Horometro</v>
      </c>
      <c r="C120" t="s">
        <v>225</v>
      </c>
      <c r="D120">
        <v>119</v>
      </c>
      <c r="F120" s="6"/>
    </row>
    <row r="121" spans="1:6" x14ac:dyDescent="0.2">
      <c r="A121" t="s">
        <v>733</v>
      </c>
      <c r="B121" s="8" t="str">
        <f t="shared" si="1"/>
        <v>SRV002.M1200UM020CURR_1.F_CV - 1200UM020   Corriente Fase A AD</v>
      </c>
      <c r="C121" t="s">
        <v>227</v>
      </c>
      <c r="D121">
        <v>120</v>
      </c>
      <c r="F121" s="6"/>
    </row>
    <row r="122" spans="1:6" x14ac:dyDescent="0.2">
      <c r="A122" t="s">
        <v>734</v>
      </c>
      <c r="B122" s="8" t="str">
        <f t="shared" si="1"/>
        <v>SRV002.M1200UM020CURR_2.F_CV - 1200UM020   Corriente Fase B AD</v>
      </c>
      <c r="C122" t="s">
        <v>228</v>
      </c>
      <c r="D122">
        <v>121</v>
      </c>
      <c r="F122" s="6"/>
    </row>
    <row r="123" spans="1:6" x14ac:dyDescent="0.2">
      <c r="A123" t="s">
        <v>735</v>
      </c>
      <c r="B123" s="8" t="str">
        <f t="shared" si="1"/>
        <v>SRV002.M1200UM020CURR_3.F_CV - 1200UM020   Corriente Fase C AD</v>
      </c>
      <c r="C123" t="s">
        <v>229</v>
      </c>
      <c r="D123">
        <v>122</v>
      </c>
      <c r="F123" s="6"/>
    </row>
    <row r="124" spans="1:6" x14ac:dyDescent="0.2">
      <c r="A124" t="s">
        <v>732</v>
      </c>
      <c r="B124" s="8" t="str">
        <f t="shared" si="1"/>
        <v>SRV002.M1200UM020CURR_0.F_CV - 1200UM020   Corriente Promedio AD</v>
      </c>
      <c r="C124" t="s">
        <v>226</v>
      </c>
      <c r="D124">
        <v>123</v>
      </c>
      <c r="F124" s="6"/>
    </row>
    <row r="125" spans="1:6" x14ac:dyDescent="0.2">
      <c r="A125" t="s">
        <v>736</v>
      </c>
      <c r="B125" s="8" t="str">
        <f t="shared" si="1"/>
        <v>SRV002.M1200UM020HRS.F_CV - 1200UM020   Horometro</v>
      </c>
      <c r="C125" t="s">
        <v>230</v>
      </c>
      <c r="D125">
        <v>124</v>
      </c>
      <c r="F125" s="6"/>
    </row>
    <row r="126" spans="1:6" x14ac:dyDescent="0.2">
      <c r="A126" t="s">
        <v>738</v>
      </c>
      <c r="B126" s="8" t="str">
        <f t="shared" si="1"/>
        <v>SRV002.M1200UM021CURR_1.F_CV - 1200UM021   Corriente Fase A AD</v>
      </c>
      <c r="C126" t="s">
        <v>232</v>
      </c>
      <c r="D126">
        <v>125</v>
      </c>
      <c r="F126" s="6"/>
    </row>
    <row r="127" spans="1:6" x14ac:dyDescent="0.2">
      <c r="A127" t="s">
        <v>739</v>
      </c>
      <c r="B127" s="8" t="str">
        <f t="shared" si="1"/>
        <v>SRV002.M1200UM021CURR_2.F_CV - 1200UM021   Corriente Fase B AD</v>
      </c>
      <c r="C127" t="s">
        <v>233</v>
      </c>
      <c r="D127">
        <v>126</v>
      </c>
      <c r="F127" s="6"/>
    </row>
    <row r="128" spans="1:6" x14ac:dyDescent="0.2">
      <c r="A128" t="s">
        <v>740</v>
      </c>
      <c r="B128" s="8" t="str">
        <f t="shared" si="1"/>
        <v>SRV002.M1200UM021CURR_3.F_CV - 1200UM021   Corriente Fase C AD</v>
      </c>
      <c r="C128" t="s">
        <v>234</v>
      </c>
      <c r="D128">
        <v>127</v>
      </c>
      <c r="F128" s="6"/>
    </row>
    <row r="129" spans="1:6" x14ac:dyDescent="0.2">
      <c r="A129" t="s">
        <v>737</v>
      </c>
      <c r="B129" s="8" t="str">
        <f t="shared" si="1"/>
        <v>SRV002.M1200UM021CURR_0.F_CV - 1200UM021   Corriente Promedio AD</v>
      </c>
      <c r="C129" t="s">
        <v>231</v>
      </c>
      <c r="D129">
        <v>128</v>
      </c>
      <c r="F129" s="6"/>
    </row>
    <row r="130" spans="1:6" x14ac:dyDescent="0.2">
      <c r="A130" t="s">
        <v>741</v>
      </c>
      <c r="B130" s="8" t="str">
        <f t="shared" si="1"/>
        <v>SRV002.M1200UM021HRS.F_CV - 1200UM021   Horometro</v>
      </c>
      <c r="C130" t="s">
        <v>235</v>
      </c>
      <c r="D130">
        <v>129</v>
      </c>
      <c r="F130" s="6"/>
    </row>
    <row r="131" spans="1:6" x14ac:dyDescent="0.2">
      <c r="A131" t="s">
        <v>744</v>
      </c>
      <c r="B131" s="8" t="str">
        <f t="shared" ref="B131:B194" si="2">C131&amp;" - "&amp;A131</f>
        <v>SRV002.M1300FE001CURR_1.F_CV - 1300FE001   Corriente Fase A AD</v>
      </c>
      <c r="C131" t="s">
        <v>238</v>
      </c>
      <c r="D131">
        <v>130</v>
      </c>
      <c r="F131" s="6"/>
    </row>
    <row r="132" spans="1:6" x14ac:dyDescent="0.2">
      <c r="A132" t="s">
        <v>745</v>
      </c>
      <c r="B132" s="8" t="str">
        <f t="shared" si="2"/>
        <v>SRV002.M1300FE001CURR_2.F_CV - 1300FE001   Corriente Fase B AD</v>
      </c>
      <c r="C132" t="s">
        <v>239</v>
      </c>
      <c r="D132">
        <v>131</v>
      </c>
      <c r="F132" s="6"/>
    </row>
    <row r="133" spans="1:6" x14ac:dyDescent="0.2">
      <c r="A133" t="s">
        <v>746</v>
      </c>
      <c r="B133" s="8" t="str">
        <f t="shared" si="2"/>
        <v>SRV002.M1300FE001CURR_3.F_CV - 1300FE001   Corriente Fase C AD</v>
      </c>
      <c r="C133" t="s">
        <v>240</v>
      </c>
      <c r="D133">
        <v>132</v>
      </c>
      <c r="F133" s="6"/>
    </row>
    <row r="134" spans="1:6" x14ac:dyDescent="0.2">
      <c r="A134" t="s">
        <v>743</v>
      </c>
      <c r="B134" s="8" t="str">
        <f t="shared" si="2"/>
        <v>SRV002.M1300FE001CURR_0.F_CV - 1300FE001   Corriente Promedio AD</v>
      </c>
      <c r="C134" t="s">
        <v>237</v>
      </c>
      <c r="D134">
        <v>133</v>
      </c>
      <c r="F134" s="6"/>
    </row>
    <row r="135" spans="1:6" x14ac:dyDescent="0.2">
      <c r="A135" t="s">
        <v>750</v>
      </c>
      <c r="B135" s="8" t="str">
        <f t="shared" si="2"/>
        <v>SRV002.M1300FE001PAR_1.F_CV - 1300FE001   Corriente salida del Motor</v>
      </c>
      <c r="C135" t="s">
        <v>244</v>
      </c>
      <c r="D135">
        <v>134</v>
      </c>
      <c r="F135" s="6"/>
    </row>
    <row r="136" spans="1:6" x14ac:dyDescent="0.2">
      <c r="A136" t="s">
        <v>747</v>
      </c>
      <c r="B136" s="8" t="str">
        <f t="shared" si="2"/>
        <v>SRV002.M1300FE001CURR_4.F_CV - 1300FE001   Desbalance de Corriente AD</v>
      </c>
      <c r="C136" t="s">
        <v>241</v>
      </c>
      <c r="D136">
        <v>135</v>
      </c>
      <c r="F136" s="6"/>
    </row>
    <row r="137" spans="1:6" x14ac:dyDescent="0.2">
      <c r="A137" t="s">
        <v>749</v>
      </c>
      <c r="B137" s="8" t="str">
        <f t="shared" si="2"/>
        <v>SRV002.M1300FE001PAR_0.F_CV - 1300FE001   Frecuencia del Motor</v>
      </c>
      <c r="C137" t="s">
        <v>243</v>
      </c>
      <c r="D137">
        <v>136</v>
      </c>
      <c r="F137" s="6"/>
    </row>
    <row r="138" spans="1:6" x14ac:dyDescent="0.2">
      <c r="A138" t="s">
        <v>748</v>
      </c>
      <c r="B138" s="8" t="str">
        <f t="shared" si="2"/>
        <v>SRV002.M1300FE001HRS.F_CV - 1300FE001   Horometro</v>
      </c>
      <c r="C138" t="s">
        <v>242</v>
      </c>
      <c r="D138">
        <v>137</v>
      </c>
      <c r="F138" s="6"/>
    </row>
    <row r="139" spans="1:6" x14ac:dyDescent="0.2">
      <c r="A139" t="s">
        <v>742</v>
      </c>
      <c r="B139" s="8" t="str">
        <f t="shared" si="2"/>
        <v>SRV002.M1300FE001ACT.F_CV - 1300FE001   Referencia Actual</v>
      </c>
      <c r="C139" t="s">
        <v>236</v>
      </c>
      <c r="D139">
        <v>138</v>
      </c>
      <c r="F139" s="6"/>
    </row>
    <row r="140" spans="1:6" x14ac:dyDescent="0.2">
      <c r="A140" t="s">
        <v>753</v>
      </c>
      <c r="B140" s="8" t="str">
        <f t="shared" si="2"/>
        <v>SRV002.M1300FE001PAR_4.F_CV - 1300FE001   Referencia Local</v>
      </c>
      <c r="C140" t="s">
        <v>247</v>
      </c>
      <c r="D140">
        <v>139</v>
      </c>
      <c r="F140" s="6"/>
    </row>
    <row r="141" spans="1:6" x14ac:dyDescent="0.2">
      <c r="A141" t="s">
        <v>754</v>
      </c>
      <c r="B141" s="8" t="str">
        <f t="shared" si="2"/>
        <v>SRV002.M1300FE001REF.F_CV - 1300FE001   Referencia Remoto</v>
      </c>
      <c r="C141" t="s">
        <v>248</v>
      </c>
      <c r="D141">
        <v>140</v>
      </c>
      <c r="F141" s="6"/>
    </row>
    <row r="142" spans="1:6" x14ac:dyDescent="0.2">
      <c r="A142" t="s">
        <v>752</v>
      </c>
      <c r="B142" s="8" t="str">
        <f t="shared" si="2"/>
        <v>SRV002.M1300FE001PAR_3.F_CV - 1300FE001   Voltaje Bus DC del Motor</v>
      </c>
      <c r="C142" t="s">
        <v>246</v>
      </c>
      <c r="D142">
        <v>141</v>
      </c>
      <c r="F142" s="6"/>
    </row>
    <row r="143" spans="1:6" x14ac:dyDescent="0.2">
      <c r="A143" t="s">
        <v>751</v>
      </c>
      <c r="B143" s="8" t="str">
        <f t="shared" si="2"/>
        <v>SRV002.M1300FE001PAR_2.F_CV - 1300FE001   Voltaje salida del Motor</v>
      </c>
      <c r="C143" t="s">
        <v>245</v>
      </c>
      <c r="D143">
        <v>142</v>
      </c>
      <c r="F143" s="6"/>
    </row>
    <row r="144" spans="1:6" x14ac:dyDescent="0.2">
      <c r="A144" t="s">
        <v>756</v>
      </c>
      <c r="B144" s="8" t="str">
        <f t="shared" si="2"/>
        <v>SRV002.M1300PC001CURR_1.F_CV - 1300PC001   Corriente Fase A</v>
      </c>
      <c r="C144" t="s">
        <v>250</v>
      </c>
      <c r="D144">
        <v>143</v>
      </c>
      <c r="F144" s="6"/>
    </row>
    <row r="145" spans="1:6" x14ac:dyDescent="0.2">
      <c r="A145" t="s">
        <v>757</v>
      </c>
      <c r="B145" s="8" t="str">
        <f t="shared" si="2"/>
        <v>SRV002.M1300PC001CURR_2.F_CV - 1300PC001   Corriente Fase B</v>
      </c>
      <c r="C145" t="s">
        <v>251</v>
      </c>
      <c r="D145">
        <v>144</v>
      </c>
      <c r="F145" s="6"/>
    </row>
    <row r="146" spans="1:6" x14ac:dyDescent="0.2">
      <c r="A146" t="s">
        <v>758</v>
      </c>
      <c r="B146" s="8" t="str">
        <f t="shared" si="2"/>
        <v>SRV002.M1300PC001CURR_3.F_CV - 1300PC001   Corriente Fase C</v>
      </c>
      <c r="C146" t="s">
        <v>252</v>
      </c>
      <c r="D146">
        <v>145</v>
      </c>
      <c r="F146" s="6"/>
    </row>
    <row r="147" spans="1:6" x14ac:dyDescent="0.2">
      <c r="A147" t="s">
        <v>755</v>
      </c>
      <c r="B147" s="8" t="str">
        <f t="shared" si="2"/>
        <v>SRV002.M1300PC001CURR_0.F_CV - 1300PC001   Corriente Promedio</v>
      </c>
      <c r="C147" t="s">
        <v>249</v>
      </c>
      <c r="D147">
        <v>146</v>
      </c>
      <c r="F147" s="6"/>
    </row>
    <row r="148" spans="1:6" x14ac:dyDescent="0.2">
      <c r="A148" t="s">
        <v>759</v>
      </c>
      <c r="B148" s="8" t="str">
        <f t="shared" si="2"/>
        <v>SRV002.M1300PC001HRS.F_CV - 1300PC001   Horometro</v>
      </c>
      <c r="C148" t="s">
        <v>253</v>
      </c>
      <c r="D148">
        <v>147</v>
      </c>
      <c r="F148" s="6"/>
    </row>
    <row r="149" spans="1:6" x14ac:dyDescent="0.2">
      <c r="A149" t="s">
        <v>760</v>
      </c>
      <c r="B149" s="8" t="str">
        <f t="shared" si="2"/>
        <v>SRV002.M1300PC001POT_0.F_CV - 1300PC001   Potencia Activa</v>
      </c>
      <c r="C149" t="s">
        <v>254</v>
      </c>
      <c r="D149">
        <v>148</v>
      </c>
      <c r="F149" s="6"/>
    </row>
    <row r="150" spans="1:6" x14ac:dyDescent="0.2">
      <c r="A150" t="s">
        <v>761</v>
      </c>
      <c r="B150" s="8" t="str">
        <f t="shared" si="2"/>
        <v>SRV002.M1300PC001POT_1.F_CV - 1300PC001   Potencia Reactiva</v>
      </c>
      <c r="C150" t="s">
        <v>255</v>
      </c>
      <c r="D150">
        <v>149</v>
      </c>
      <c r="F150" s="6"/>
    </row>
    <row r="151" spans="1:6" x14ac:dyDescent="0.2">
      <c r="A151" t="s">
        <v>762</v>
      </c>
      <c r="B151" s="8" t="str">
        <f t="shared" si="2"/>
        <v>SRV002.M2000CV001CURR_1.F_CV - 2000CV001   Corriente Fase A</v>
      </c>
      <c r="C151" t="s">
        <v>256</v>
      </c>
      <c r="D151">
        <v>150</v>
      </c>
      <c r="F151" s="6"/>
    </row>
    <row r="152" spans="1:6" x14ac:dyDescent="0.2">
      <c r="A152" t="s">
        <v>763</v>
      </c>
      <c r="B152" s="8" t="str">
        <f t="shared" si="2"/>
        <v>SRV002.M2000CV001CURR_2.F_CV - 2000CV001   Corriente Fase B</v>
      </c>
      <c r="C152" t="s">
        <v>257</v>
      </c>
      <c r="D152">
        <v>151</v>
      </c>
      <c r="F152" s="6"/>
    </row>
    <row r="153" spans="1:6" x14ac:dyDescent="0.2">
      <c r="A153" t="s">
        <v>764</v>
      </c>
      <c r="B153" s="8" t="str">
        <f t="shared" si="2"/>
        <v>SRV002.M2000CV001CURR_3.F_CV - 2000CV001   Corriente Fase C</v>
      </c>
      <c r="C153" t="s">
        <v>258</v>
      </c>
      <c r="D153">
        <v>152</v>
      </c>
      <c r="F153" s="6"/>
    </row>
    <row r="154" spans="1:6" x14ac:dyDescent="0.2">
      <c r="A154" t="s">
        <v>20</v>
      </c>
      <c r="B154" s="8" t="str">
        <f t="shared" si="2"/>
        <v>SRV002.M2000CV001CURR_0.F_CV - 2000CV001   Corriente Promedio</v>
      </c>
      <c r="C154" t="s">
        <v>25</v>
      </c>
      <c r="D154">
        <v>153</v>
      </c>
      <c r="F154" s="6"/>
    </row>
    <row r="155" spans="1:6" x14ac:dyDescent="0.2">
      <c r="A155" t="s">
        <v>765</v>
      </c>
      <c r="B155" s="8" t="str">
        <f t="shared" si="2"/>
        <v>SRV002.M2000CV001HRS.F_CV - 2000CV001   Horometro</v>
      </c>
      <c r="C155" t="s">
        <v>259</v>
      </c>
      <c r="D155">
        <v>154</v>
      </c>
      <c r="F155" s="6"/>
    </row>
    <row r="156" spans="1:6" x14ac:dyDescent="0.2">
      <c r="A156" t="s">
        <v>766</v>
      </c>
      <c r="B156" s="8" t="str">
        <f t="shared" si="2"/>
        <v>SRV002.M2000CV001POT_0.F_CV - 2000CV001   Potencia Activa</v>
      </c>
      <c r="C156" t="s">
        <v>260</v>
      </c>
      <c r="D156">
        <v>155</v>
      </c>
      <c r="F156" s="6"/>
    </row>
    <row r="157" spans="1:6" x14ac:dyDescent="0.2">
      <c r="A157" t="s">
        <v>767</v>
      </c>
      <c r="B157" s="8" t="str">
        <f t="shared" si="2"/>
        <v>SRV002.M2000CV001POT_1.F_CV - 2000CV001   Potencia Reactiva</v>
      </c>
      <c r="C157" t="s">
        <v>261</v>
      </c>
      <c r="D157">
        <v>156</v>
      </c>
      <c r="F157" s="6"/>
    </row>
    <row r="158" spans="1:6" x14ac:dyDescent="0.2">
      <c r="A158" t="s">
        <v>976</v>
      </c>
      <c r="B158" s="8" t="str">
        <f t="shared" si="2"/>
        <v>SRV002.PHACU_80.F_CV - 2000MC001   Corriente Fase A</v>
      </c>
      <c r="C158" t="s">
        <v>470</v>
      </c>
      <c r="D158">
        <v>157</v>
      </c>
      <c r="F158" s="6"/>
    </row>
    <row r="159" spans="1:6" x14ac:dyDescent="0.2">
      <c r="A159" t="s">
        <v>981</v>
      </c>
      <c r="B159" s="8" t="str">
        <f t="shared" si="2"/>
        <v>SRV002.PHBCU_80.F_CV - 2000MC001   Corriente Fase B</v>
      </c>
      <c r="C159" t="s">
        <v>475</v>
      </c>
      <c r="D159">
        <v>158</v>
      </c>
      <c r="F159" s="6"/>
    </row>
    <row r="160" spans="1:6" x14ac:dyDescent="0.2">
      <c r="A160" t="s">
        <v>986</v>
      </c>
      <c r="B160" s="8" t="str">
        <f t="shared" si="2"/>
        <v>SRV002.PHCCU_80.F_CV - 2000MC001   Corriente Fase C</v>
      </c>
      <c r="C160" t="s">
        <v>480</v>
      </c>
      <c r="D160">
        <v>159</v>
      </c>
      <c r="F160" s="6"/>
    </row>
    <row r="161" spans="1:6" x14ac:dyDescent="0.2">
      <c r="A161" t="s">
        <v>541</v>
      </c>
      <c r="B161" s="8" t="str">
        <f t="shared" si="2"/>
        <v>SRV002.ARGCU_80.F_CV - 2000MC001   Corriente Promedio</v>
      </c>
      <c r="C161" t="s">
        <v>35</v>
      </c>
      <c r="D161">
        <v>160</v>
      </c>
      <c r="F161" s="6"/>
    </row>
    <row r="162" spans="1:6" x14ac:dyDescent="0.2">
      <c r="A162" t="s">
        <v>996</v>
      </c>
      <c r="B162" s="8" t="str">
        <f t="shared" si="2"/>
        <v>SRV002.REAL_NEG_80.F_CV - 2000MC001   Energía Activa Negativa</v>
      </c>
      <c r="C162" t="s">
        <v>490</v>
      </c>
      <c r="D162">
        <v>161</v>
      </c>
      <c r="F162" s="6"/>
    </row>
    <row r="163" spans="1:6" x14ac:dyDescent="0.2">
      <c r="A163" t="s">
        <v>1001</v>
      </c>
      <c r="B163" s="8" t="str">
        <f t="shared" si="2"/>
        <v>SRV002.REAL_POS_80.F_CV - 2000MC001   Energía Activa Positiva</v>
      </c>
      <c r="C163" t="s">
        <v>495</v>
      </c>
      <c r="D163">
        <v>162</v>
      </c>
      <c r="F163" s="6"/>
    </row>
    <row r="164" spans="1:6" x14ac:dyDescent="0.2">
      <c r="A164" t="s">
        <v>551</v>
      </c>
      <c r="B164" s="8" t="str">
        <f t="shared" si="2"/>
        <v>SRV002.EREACTNEG_80.F_CV - 2000MC001   Energía Reactiva Negativa</v>
      </c>
      <c r="C164" t="s">
        <v>45</v>
      </c>
      <c r="D164">
        <v>163</v>
      </c>
      <c r="F164" s="6"/>
    </row>
    <row r="165" spans="1:6" x14ac:dyDescent="0.2">
      <c r="A165" t="s">
        <v>556</v>
      </c>
      <c r="B165" s="8" t="str">
        <f t="shared" si="2"/>
        <v>SRV002.EREACTPOS_80.F_CV - 2000MC001   Energía Reactiva Positiva</v>
      </c>
      <c r="C165" t="s">
        <v>50</v>
      </c>
      <c r="D165">
        <v>164</v>
      </c>
      <c r="F165" s="6"/>
    </row>
    <row r="166" spans="1:6" x14ac:dyDescent="0.2">
      <c r="A166" t="s">
        <v>971</v>
      </c>
      <c r="B166" s="8" t="str">
        <f t="shared" si="2"/>
        <v>SRV002.PH_PW_80.F_CV - 2000MC001   Factor de Potencia</v>
      </c>
      <c r="C166" t="s">
        <v>465</v>
      </c>
      <c r="D166">
        <v>165</v>
      </c>
      <c r="F166" s="6"/>
    </row>
    <row r="167" spans="1:6" x14ac:dyDescent="0.2">
      <c r="A167" t="s">
        <v>621</v>
      </c>
      <c r="B167" s="8" t="str">
        <f t="shared" si="2"/>
        <v>SRV002.FRH_80.F_CV - 2000MC001   Frecuencia</v>
      </c>
      <c r="C167" t="s">
        <v>115</v>
      </c>
      <c r="D167">
        <v>166</v>
      </c>
      <c r="F167" s="6"/>
    </row>
    <row r="168" spans="1:6" x14ac:dyDescent="0.2">
      <c r="A168" t="s">
        <v>1006</v>
      </c>
      <c r="B168" s="8" t="str">
        <f t="shared" si="2"/>
        <v>SRV002.REL_PH_80.F_CV - 2000MC001   Potencia Activa</v>
      </c>
      <c r="C168" t="s">
        <v>500</v>
      </c>
      <c r="D168">
        <v>167</v>
      </c>
      <c r="F168" s="6"/>
    </row>
    <row r="169" spans="1:6" x14ac:dyDescent="0.2">
      <c r="A169" t="s">
        <v>991</v>
      </c>
      <c r="B169" s="8" t="str">
        <f t="shared" si="2"/>
        <v>SRV002.REAC_PH_80.F_CV - 2000MC001   Potencia Reactiva</v>
      </c>
      <c r="C169" t="s">
        <v>485</v>
      </c>
      <c r="D169">
        <v>168</v>
      </c>
      <c r="F169" s="6"/>
    </row>
    <row r="170" spans="1:6" x14ac:dyDescent="0.2">
      <c r="A170" t="s">
        <v>1028</v>
      </c>
      <c r="B170" s="8" t="str">
        <f t="shared" si="2"/>
        <v>SRV002.VOLT_AB_80.F_CV - 2000MC001   Voltaje A-B</v>
      </c>
      <c r="C170" t="s">
        <v>522</v>
      </c>
      <c r="D170">
        <v>169</v>
      </c>
      <c r="F170" s="6"/>
    </row>
    <row r="171" spans="1:6" x14ac:dyDescent="0.2">
      <c r="A171" t="s">
        <v>1033</v>
      </c>
      <c r="B171" s="8" t="str">
        <f t="shared" si="2"/>
        <v>SRV002.VOLT_BC_80.F_CV - 2000MC001   Voltaje B-C</v>
      </c>
      <c r="C171" t="s">
        <v>527</v>
      </c>
      <c r="D171">
        <v>170</v>
      </c>
      <c r="F171" s="6"/>
    </row>
    <row r="172" spans="1:6" x14ac:dyDescent="0.2">
      <c r="A172" t="s">
        <v>1038</v>
      </c>
      <c r="B172" s="8" t="str">
        <f t="shared" si="2"/>
        <v>SRV002.VOLT_CA_80.F_CV - 2000MC001   Voltaje C-A</v>
      </c>
      <c r="C172" t="s">
        <v>532</v>
      </c>
      <c r="D172">
        <v>171</v>
      </c>
      <c r="F172" s="6"/>
    </row>
    <row r="173" spans="1:6" x14ac:dyDescent="0.2">
      <c r="A173" t="s">
        <v>546</v>
      </c>
      <c r="B173" s="8" t="str">
        <f t="shared" si="2"/>
        <v>SRV002.AVRLV_80.F_CV - 2000MC001   Voltaje Promedio</v>
      </c>
      <c r="C173" t="s">
        <v>40</v>
      </c>
      <c r="D173">
        <v>172</v>
      </c>
      <c r="F173" s="6"/>
    </row>
    <row r="174" spans="1:6" x14ac:dyDescent="0.2">
      <c r="A174" t="s">
        <v>768</v>
      </c>
      <c r="B174" s="8" t="str">
        <f t="shared" si="2"/>
        <v>SRV002.M2000PC001CURR_1.F_CV - 2000PC001   Corriente Fase A</v>
      </c>
      <c r="C174" t="s">
        <v>262</v>
      </c>
      <c r="D174">
        <v>173</v>
      </c>
      <c r="F174" s="6"/>
    </row>
    <row r="175" spans="1:6" x14ac:dyDescent="0.2">
      <c r="A175" t="s">
        <v>769</v>
      </c>
      <c r="B175" s="8" t="str">
        <f t="shared" si="2"/>
        <v>SRV002.M2000PC001CURR_2.F_CV - 2000PC001   Corriente Fase B</v>
      </c>
      <c r="C175" t="s">
        <v>263</v>
      </c>
      <c r="D175">
        <v>174</v>
      </c>
      <c r="F175" s="6"/>
    </row>
    <row r="176" spans="1:6" x14ac:dyDescent="0.2">
      <c r="A176" t="s">
        <v>770</v>
      </c>
      <c r="B176" s="8" t="str">
        <f t="shared" si="2"/>
        <v>SRV002.M2000PC001CURR_3.F_CV - 2000PC001   Corriente Fase C</v>
      </c>
      <c r="C176" t="s">
        <v>264</v>
      </c>
      <c r="D176">
        <v>175</v>
      </c>
      <c r="F176" s="6"/>
    </row>
    <row r="177" spans="1:6" x14ac:dyDescent="0.2">
      <c r="A177" t="s">
        <v>19</v>
      </c>
      <c r="B177" s="8" t="str">
        <f t="shared" si="2"/>
        <v>SRV002.M2000PC001CURR_0.F_CV - 2000PC001   Corriente Promedio</v>
      </c>
      <c r="C177" t="s">
        <v>24</v>
      </c>
      <c r="D177">
        <v>176</v>
      </c>
      <c r="F177" s="6"/>
    </row>
    <row r="178" spans="1:6" x14ac:dyDescent="0.2">
      <c r="A178" t="s">
        <v>771</v>
      </c>
      <c r="B178" s="8" t="str">
        <f t="shared" si="2"/>
        <v>SRV002.M2000PC001HRS.F_CV - 2000PC001   Horometro</v>
      </c>
      <c r="C178" t="s">
        <v>265</v>
      </c>
      <c r="D178">
        <v>177</v>
      </c>
      <c r="F178" s="6"/>
    </row>
    <row r="179" spans="1:6" x14ac:dyDescent="0.2">
      <c r="A179" t="s">
        <v>772</v>
      </c>
      <c r="B179" s="8" t="str">
        <f t="shared" si="2"/>
        <v>SRV002.M2000PC001POT_0.F_CV - 2000PC001   Potencia Activa</v>
      </c>
      <c r="C179" t="s">
        <v>266</v>
      </c>
      <c r="D179">
        <v>178</v>
      </c>
      <c r="F179" s="6"/>
    </row>
    <row r="180" spans="1:6" x14ac:dyDescent="0.2">
      <c r="A180" t="s">
        <v>773</v>
      </c>
      <c r="B180" s="8" t="str">
        <f t="shared" si="2"/>
        <v>SRV002.M2000PC001POT_1.F_CV - 2000PC001   Potencia Reactiva</v>
      </c>
      <c r="C180" t="s">
        <v>267</v>
      </c>
      <c r="D180">
        <v>179</v>
      </c>
      <c r="F180" s="6"/>
    </row>
    <row r="181" spans="1:6" x14ac:dyDescent="0.2">
      <c r="A181" t="s">
        <v>775</v>
      </c>
      <c r="B181" s="8" t="str">
        <f t="shared" si="2"/>
        <v>SRV002.M2000VE001CURR_1.F_CV - 2000VE001   Corriente Fase A</v>
      </c>
      <c r="C181" t="s">
        <v>269</v>
      </c>
      <c r="D181">
        <v>180</v>
      </c>
      <c r="F181" s="6"/>
    </row>
    <row r="182" spans="1:6" x14ac:dyDescent="0.2">
      <c r="A182" t="s">
        <v>776</v>
      </c>
      <c r="B182" s="8" t="str">
        <f t="shared" si="2"/>
        <v>SRV002.M2000VE001CURR_2.F_CV - 2000VE001   Corriente Fase B</v>
      </c>
      <c r="C182" t="s">
        <v>270</v>
      </c>
      <c r="D182">
        <v>181</v>
      </c>
      <c r="F182" s="6"/>
    </row>
    <row r="183" spans="1:6" x14ac:dyDescent="0.2">
      <c r="A183" t="s">
        <v>777</v>
      </c>
      <c r="B183" s="8" t="str">
        <f t="shared" si="2"/>
        <v>SRV002.M2000VE001CURR_3.F_CV - 2000VE001   Corriente Fase C</v>
      </c>
      <c r="C183" t="s">
        <v>271</v>
      </c>
      <c r="D183">
        <v>182</v>
      </c>
      <c r="F183" s="6"/>
    </row>
    <row r="184" spans="1:6" x14ac:dyDescent="0.2">
      <c r="A184" t="s">
        <v>774</v>
      </c>
      <c r="B184" s="8" t="str">
        <f t="shared" si="2"/>
        <v>SRV002.M2000VE001CURR_0.F_CV - 2000VE001   Corriente Promedio</v>
      </c>
      <c r="C184" t="s">
        <v>268</v>
      </c>
      <c r="D184">
        <v>183</v>
      </c>
      <c r="F184" s="6"/>
    </row>
    <row r="185" spans="1:6" x14ac:dyDescent="0.2">
      <c r="A185" t="s">
        <v>778</v>
      </c>
      <c r="B185" s="8" t="str">
        <f t="shared" si="2"/>
        <v>SRV002.M2000VE001HRS.F_CV - 2000VE001   Horometro</v>
      </c>
      <c r="C185" t="s">
        <v>272</v>
      </c>
      <c r="D185">
        <v>184</v>
      </c>
      <c r="F185" s="6"/>
    </row>
    <row r="186" spans="1:6" x14ac:dyDescent="0.2">
      <c r="A186" t="s">
        <v>779</v>
      </c>
      <c r="B186" s="8" t="str">
        <f t="shared" si="2"/>
        <v>SRV002.M2000VE001POT_0.F_CV - 2000VE001   Potencia Activa</v>
      </c>
      <c r="C186" t="s">
        <v>273</v>
      </c>
      <c r="D186">
        <v>185</v>
      </c>
      <c r="F186" s="6"/>
    </row>
    <row r="187" spans="1:6" x14ac:dyDescent="0.2">
      <c r="A187" t="s">
        <v>780</v>
      </c>
      <c r="B187" s="8" t="str">
        <f t="shared" si="2"/>
        <v>SRV002.M2000VE001POT_1.F_CV - 2000VE001   Potencia Reactiva</v>
      </c>
      <c r="C187" t="s">
        <v>274</v>
      </c>
      <c r="D187">
        <v>186</v>
      </c>
      <c r="F187" s="6"/>
    </row>
    <row r="188" spans="1:6" x14ac:dyDescent="0.2">
      <c r="A188" t="s">
        <v>782</v>
      </c>
      <c r="B188" s="8" t="str">
        <f t="shared" si="2"/>
        <v>SRV002.M2000VR001CURR_1.F_CV - 2000VR001   Corriente Fase A</v>
      </c>
      <c r="C188" t="s">
        <v>276</v>
      </c>
      <c r="D188">
        <v>187</v>
      </c>
      <c r="F188" s="6"/>
    </row>
    <row r="189" spans="1:6" x14ac:dyDescent="0.2">
      <c r="A189" t="s">
        <v>783</v>
      </c>
      <c r="B189" s="8" t="str">
        <f t="shared" si="2"/>
        <v>SRV002.M2000VR001CURR_2.F_CV - 2000VR001   Corriente Fase B</v>
      </c>
      <c r="C189" t="s">
        <v>277</v>
      </c>
      <c r="D189">
        <v>188</v>
      </c>
      <c r="F189" s="6"/>
    </row>
    <row r="190" spans="1:6" x14ac:dyDescent="0.2">
      <c r="A190" t="s">
        <v>784</v>
      </c>
      <c r="B190" s="8" t="str">
        <f t="shared" si="2"/>
        <v>SRV002.M2000VR001CURR_3.F_CV - 2000VR001   Corriente Fase C</v>
      </c>
      <c r="C190" t="s">
        <v>278</v>
      </c>
      <c r="D190">
        <v>189</v>
      </c>
      <c r="F190" s="6"/>
    </row>
    <row r="191" spans="1:6" x14ac:dyDescent="0.2">
      <c r="A191" t="s">
        <v>781</v>
      </c>
      <c r="B191" s="8" t="str">
        <f t="shared" si="2"/>
        <v>SRV002.M2000VR001CURR_0.F_CV - 2000VR001   Corriente Promedio</v>
      </c>
      <c r="C191" t="s">
        <v>275</v>
      </c>
      <c r="D191">
        <v>190</v>
      </c>
      <c r="F191" s="6"/>
    </row>
    <row r="192" spans="1:6" x14ac:dyDescent="0.2">
      <c r="A192" t="s">
        <v>785</v>
      </c>
      <c r="B192" s="8" t="str">
        <f t="shared" si="2"/>
        <v>SRV002.M2000VR001CURR_4.F_CV - 2000VR001   Desbalance de Corriente</v>
      </c>
      <c r="C192" t="s">
        <v>279</v>
      </c>
      <c r="D192">
        <v>191</v>
      </c>
      <c r="F192" s="6"/>
    </row>
    <row r="193" spans="1:6" x14ac:dyDescent="0.2">
      <c r="A193" t="s">
        <v>786</v>
      </c>
      <c r="B193" s="8" t="str">
        <f t="shared" si="2"/>
        <v>SRV002.M2000VR001HRS.F_CV - 2000VR001   Horometro</v>
      </c>
      <c r="C193" t="s">
        <v>280</v>
      </c>
      <c r="D193">
        <v>192</v>
      </c>
      <c r="F193" s="6"/>
    </row>
    <row r="194" spans="1:6" x14ac:dyDescent="0.2">
      <c r="A194" t="s">
        <v>1012</v>
      </c>
      <c r="B194" s="8" t="str">
        <f t="shared" si="2"/>
        <v>SRV002.V3000BF001LOAD.F_CV - 3000BF001   Carga en Balanza</v>
      </c>
      <c r="C194" t="s">
        <v>506</v>
      </c>
      <c r="D194">
        <v>193</v>
      </c>
      <c r="F194" s="6"/>
    </row>
    <row r="195" spans="1:6" x14ac:dyDescent="0.2">
      <c r="A195" t="s">
        <v>1015</v>
      </c>
      <c r="B195" s="8" t="str">
        <f t="shared" ref="B195:B258" si="3">C195&amp;" - "&amp;A195</f>
        <v>SRV002.V3000BF001RATE.F_CV - 3000BF001   Flujo de Carga</v>
      </c>
      <c r="C195" t="s">
        <v>509</v>
      </c>
      <c r="D195">
        <v>194</v>
      </c>
      <c r="F195" s="6"/>
    </row>
    <row r="196" spans="1:6" x14ac:dyDescent="0.2">
      <c r="A196" t="s">
        <v>1014</v>
      </c>
      <c r="B196" s="8" t="str">
        <f t="shared" si="3"/>
        <v>SRV002.V3000BF001PAR.F_CV - 3000BF001   Parcial de Balanza</v>
      </c>
      <c r="C196" t="s">
        <v>508</v>
      </c>
      <c r="D196">
        <v>195</v>
      </c>
      <c r="F196" s="6"/>
    </row>
    <row r="197" spans="1:6" x14ac:dyDescent="0.2">
      <c r="A197" t="s">
        <v>1013</v>
      </c>
      <c r="B197" s="8" t="str">
        <f t="shared" si="3"/>
        <v>SRV002.V3000BF001OPER.F_CV - 3000BF001   Total Operador</v>
      </c>
      <c r="C197" t="s">
        <v>507</v>
      </c>
      <c r="D197">
        <v>196</v>
      </c>
      <c r="F197" s="6"/>
    </row>
    <row r="198" spans="1:6" x14ac:dyDescent="0.2">
      <c r="A198" t="s">
        <v>1017</v>
      </c>
      <c r="B198" s="8" t="str">
        <f t="shared" si="3"/>
        <v>SRV002.V3000BF001TOT.F_CV - 3000BF001   Totalizador de Balanza</v>
      </c>
      <c r="C198" t="s">
        <v>511</v>
      </c>
      <c r="D198">
        <v>197</v>
      </c>
      <c r="F198" s="6"/>
    </row>
    <row r="199" spans="1:6" x14ac:dyDescent="0.2">
      <c r="A199" t="s">
        <v>1016</v>
      </c>
      <c r="B199" s="8" t="str">
        <f t="shared" si="3"/>
        <v>SRV002.V3000BF001SPD.F_CV - 3000BF001   Velocidad</v>
      </c>
      <c r="C199" t="s">
        <v>510</v>
      </c>
      <c r="D199">
        <v>198</v>
      </c>
      <c r="F199" s="6"/>
    </row>
    <row r="200" spans="1:6" x14ac:dyDescent="0.2">
      <c r="A200" t="s">
        <v>533</v>
      </c>
      <c r="B200" s="8" t="str">
        <f t="shared" si="3"/>
        <v>SRV002.A3000CP001_P_REAL.F_CV - 3000CP001   PRESION EN COLECTOR</v>
      </c>
      <c r="C200" t="s">
        <v>27</v>
      </c>
      <c r="D200">
        <v>199</v>
      </c>
      <c r="F200" s="6"/>
    </row>
    <row r="201" spans="1:6" x14ac:dyDescent="0.2">
      <c r="A201" t="s">
        <v>534</v>
      </c>
      <c r="B201" s="8" t="str">
        <f t="shared" si="3"/>
        <v>SRV002.A3000CP002_P_REAL.F_CV - 3000CP002   PRESION EN COLECTOR</v>
      </c>
      <c r="C201" t="s">
        <v>28</v>
      </c>
      <c r="D201">
        <v>200</v>
      </c>
      <c r="F201" s="6"/>
    </row>
    <row r="202" spans="1:6" x14ac:dyDescent="0.2">
      <c r="A202" t="s">
        <v>789</v>
      </c>
      <c r="B202" s="8" t="str">
        <f t="shared" si="3"/>
        <v>SRV002.M3000CV001CURR_1.F_CV - 3000CV001   Corriente Fase A AD</v>
      </c>
      <c r="C202" t="s">
        <v>283</v>
      </c>
      <c r="D202">
        <v>201</v>
      </c>
      <c r="F202" s="6"/>
    </row>
    <row r="203" spans="1:6" x14ac:dyDescent="0.2">
      <c r="A203" t="s">
        <v>790</v>
      </c>
      <c r="B203" s="8" t="str">
        <f t="shared" si="3"/>
        <v>SRV002.M3000CV001CURR_2.F_CV - 3000CV001   Corriente Fase B AD</v>
      </c>
      <c r="C203" t="s">
        <v>284</v>
      </c>
      <c r="D203">
        <v>202</v>
      </c>
      <c r="F203" s="6"/>
    </row>
    <row r="204" spans="1:6" x14ac:dyDescent="0.2">
      <c r="A204" t="s">
        <v>791</v>
      </c>
      <c r="B204" s="8" t="str">
        <f t="shared" si="3"/>
        <v>SRV002.M3000CV001CURR_3.F_CV - 3000CV001   Corriente Fase C AD</v>
      </c>
      <c r="C204" t="s">
        <v>285</v>
      </c>
      <c r="D204">
        <v>203</v>
      </c>
      <c r="F204" s="6"/>
    </row>
    <row r="205" spans="1:6" x14ac:dyDescent="0.2">
      <c r="A205" t="s">
        <v>788</v>
      </c>
      <c r="B205" s="8" t="str">
        <f t="shared" si="3"/>
        <v>SRV002.M3000CV001CURR_0.F_CV - 3000CV001   Corriente Promedio AD</v>
      </c>
      <c r="C205" t="s">
        <v>282</v>
      </c>
      <c r="D205">
        <v>204</v>
      </c>
      <c r="F205" s="6"/>
    </row>
    <row r="206" spans="1:6" x14ac:dyDescent="0.2">
      <c r="A206" t="s">
        <v>795</v>
      </c>
      <c r="B206" s="8" t="str">
        <f t="shared" si="3"/>
        <v>SRV002.M3000CV001PAR_1.F_CV - 3000CV001   Corriente salida del Motor</v>
      </c>
      <c r="C206" t="s">
        <v>289</v>
      </c>
      <c r="D206">
        <v>205</v>
      </c>
      <c r="F206" s="6"/>
    </row>
    <row r="207" spans="1:6" x14ac:dyDescent="0.2">
      <c r="A207" t="s">
        <v>792</v>
      </c>
      <c r="B207" s="8" t="str">
        <f t="shared" si="3"/>
        <v>SRV002.M3000CV001CURR_4.F_CV - 3000CV001   Desbalance de Corriente AD</v>
      </c>
      <c r="C207" t="s">
        <v>286</v>
      </c>
      <c r="D207">
        <v>206</v>
      </c>
      <c r="F207" s="6"/>
    </row>
    <row r="208" spans="1:6" x14ac:dyDescent="0.2">
      <c r="A208" t="s">
        <v>794</v>
      </c>
      <c r="B208" s="8" t="str">
        <f t="shared" si="3"/>
        <v>SRV002.M3000CV001PAR_0.F_CV - 3000CV001   Frecuencia del Motor</v>
      </c>
      <c r="C208" t="s">
        <v>288</v>
      </c>
      <c r="D208">
        <v>207</v>
      </c>
      <c r="F208" s="6"/>
    </row>
    <row r="209" spans="1:6" x14ac:dyDescent="0.2">
      <c r="A209" t="s">
        <v>793</v>
      </c>
      <c r="B209" s="8" t="str">
        <f t="shared" si="3"/>
        <v>SRV002.M3000CV001HRS.F_CV - 3000CV001   Horometro</v>
      </c>
      <c r="C209" t="s">
        <v>287</v>
      </c>
      <c r="D209">
        <v>208</v>
      </c>
      <c r="F209" s="6"/>
    </row>
    <row r="210" spans="1:6" x14ac:dyDescent="0.2">
      <c r="A210" t="s">
        <v>787</v>
      </c>
      <c r="B210" s="8" t="str">
        <f t="shared" si="3"/>
        <v>SRV002.M3000CV001ACT.F_CV - 3000CV001   Referencia Actual</v>
      </c>
      <c r="C210" t="s">
        <v>281</v>
      </c>
      <c r="D210">
        <v>209</v>
      </c>
      <c r="F210" s="6"/>
    </row>
    <row r="211" spans="1:6" x14ac:dyDescent="0.2">
      <c r="A211" t="s">
        <v>798</v>
      </c>
      <c r="B211" s="8" t="str">
        <f t="shared" si="3"/>
        <v>SRV002.M3000CV001PAR_4.F_CV - 3000CV001   Referencia Local</v>
      </c>
      <c r="C211" t="s">
        <v>292</v>
      </c>
      <c r="D211">
        <v>210</v>
      </c>
      <c r="F211" s="6"/>
    </row>
    <row r="212" spans="1:6" x14ac:dyDescent="0.2">
      <c r="A212" t="s">
        <v>799</v>
      </c>
      <c r="B212" s="8" t="str">
        <f t="shared" si="3"/>
        <v>SRV002.M3000CV001REF.F_CV - 3000CV001   Referencia Remoto</v>
      </c>
      <c r="C212" t="s">
        <v>293</v>
      </c>
      <c r="D212">
        <v>211</v>
      </c>
      <c r="F212" s="6"/>
    </row>
    <row r="213" spans="1:6" x14ac:dyDescent="0.2">
      <c r="A213" t="s">
        <v>535</v>
      </c>
      <c r="B213" s="8" t="str">
        <f t="shared" si="3"/>
        <v>SRV002.A3000TIT3010101_REAL.F_CV - 3000CV001   Temperatura de Faja</v>
      </c>
      <c r="C213" t="s">
        <v>29</v>
      </c>
      <c r="D213">
        <v>212</v>
      </c>
      <c r="F213" s="6"/>
    </row>
    <row r="214" spans="1:6" x14ac:dyDescent="0.2">
      <c r="A214" t="s">
        <v>797</v>
      </c>
      <c r="B214" s="8" t="str">
        <f t="shared" si="3"/>
        <v>SRV002.M3000CV001PAR_3.F_CV - 3000CV001   Voltaje Bus DC del Motor</v>
      </c>
      <c r="C214" t="s">
        <v>291</v>
      </c>
      <c r="D214">
        <v>213</v>
      </c>
      <c r="F214" s="6"/>
    </row>
    <row r="215" spans="1:6" x14ac:dyDescent="0.2">
      <c r="A215" t="s">
        <v>796</v>
      </c>
      <c r="B215" s="8" t="str">
        <f t="shared" si="3"/>
        <v>SRV002.M3000CV001PAR_2.F_CV - 3000CV001   Voltaje salida del Motor</v>
      </c>
      <c r="C215" t="s">
        <v>290</v>
      </c>
      <c r="D215">
        <v>214</v>
      </c>
      <c r="F215" s="6"/>
    </row>
    <row r="216" spans="1:6" x14ac:dyDescent="0.2">
      <c r="A216" t="s">
        <v>801</v>
      </c>
      <c r="B216" s="8" t="str">
        <f t="shared" si="3"/>
        <v>SRV002.M3000CV002CURR_1.F_CV - 3000CV002   Corriente Fase A</v>
      </c>
      <c r="C216" t="s">
        <v>295</v>
      </c>
      <c r="D216">
        <v>215</v>
      </c>
      <c r="F216" s="6"/>
    </row>
    <row r="217" spans="1:6" x14ac:dyDescent="0.2">
      <c r="A217" t="s">
        <v>802</v>
      </c>
      <c r="B217" s="8" t="str">
        <f t="shared" si="3"/>
        <v>SRV002.M3000CV002CURR_2.F_CV - 3000CV002   Corriente Fase B</v>
      </c>
      <c r="C217" t="s">
        <v>296</v>
      </c>
      <c r="D217">
        <v>216</v>
      </c>
      <c r="F217" s="6"/>
    </row>
    <row r="218" spans="1:6" x14ac:dyDescent="0.2">
      <c r="A218" t="s">
        <v>803</v>
      </c>
      <c r="B218" s="8" t="str">
        <f t="shared" si="3"/>
        <v>SRV002.M3000CV002CURR_3.F_CV - 3000CV002   Corriente Fase C</v>
      </c>
      <c r="C218" t="s">
        <v>297</v>
      </c>
      <c r="D218">
        <v>217</v>
      </c>
      <c r="F218" s="6"/>
    </row>
    <row r="219" spans="1:6" x14ac:dyDescent="0.2">
      <c r="A219" t="s">
        <v>800</v>
      </c>
      <c r="B219" s="8" t="str">
        <f t="shared" si="3"/>
        <v>SRV002.M3000CV002CURR_0.F_CV - 3000CV002   Corriente Promedio</v>
      </c>
      <c r="C219" t="s">
        <v>294</v>
      </c>
      <c r="D219">
        <v>218</v>
      </c>
      <c r="F219" s="6"/>
    </row>
    <row r="220" spans="1:6" x14ac:dyDescent="0.2">
      <c r="A220" t="s">
        <v>804</v>
      </c>
      <c r="B220" s="8" t="str">
        <f t="shared" si="3"/>
        <v>SRV002.M3000CV002HRS.F_CV - 3000CV002   Horometro</v>
      </c>
      <c r="C220" t="s">
        <v>298</v>
      </c>
      <c r="D220">
        <v>219</v>
      </c>
      <c r="F220" s="6"/>
    </row>
    <row r="221" spans="1:6" x14ac:dyDescent="0.2">
      <c r="A221" t="s">
        <v>805</v>
      </c>
      <c r="B221" s="8" t="str">
        <f t="shared" si="3"/>
        <v>SRV002.M3000CV002POT_0.F_CV - 3000CV002   Potencia Activa</v>
      </c>
      <c r="C221" t="s">
        <v>299</v>
      </c>
      <c r="D221">
        <v>220</v>
      </c>
      <c r="F221" s="6"/>
    </row>
    <row r="222" spans="1:6" x14ac:dyDescent="0.2">
      <c r="A222" t="s">
        <v>806</v>
      </c>
      <c r="B222" s="8" t="str">
        <f t="shared" si="3"/>
        <v>SRV002.M3000CV002POT_1.F_CV - 3000CV002   Potencia Reactiva</v>
      </c>
      <c r="C222" t="s">
        <v>300</v>
      </c>
      <c r="D222">
        <v>221</v>
      </c>
      <c r="F222" s="6"/>
    </row>
    <row r="223" spans="1:6" x14ac:dyDescent="0.2">
      <c r="A223" t="s">
        <v>808</v>
      </c>
      <c r="B223" s="8" t="str">
        <f t="shared" si="3"/>
        <v>SRV002.M3000CV003CURR_1.F_CV - 3000CV003   Corriente Fase A</v>
      </c>
      <c r="C223" t="s">
        <v>302</v>
      </c>
      <c r="D223">
        <v>222</v>
      </c>
      <c r="F223" s="6"/>
    </row>
    <row r="224" spans="1:6" x14ac:dyDescent="0.2">
      <c r="A224" t="s">
        <v>809</v>
      </c>
      <c r="B224" s="8" t="str">
        <f t="shared" si="3"/>
        <v>SRV002.M3000CV003CURR_2.F_CV - 3000CV003   Corriente Fase B</v>
      </c>
      <c r="C224" t="s">
        <v>303</v>
      </c>
      <c r="D224">
        <v>223</v>
      </c>
      <c r="F224" s="6"/>
    </row>
    <row r="225" spans="1:6" x14ac:dyDescent="0.2">
      <c r="A225" t="s">
        <v>810</v>
      </c>
      <c r="B225" s="8" t="str">
        <f t="shared" si="3"/>
        <v>SRV002.M3000CV003CURR_3.F_CV - 3000CV003   Corriente Fase C</v>
      </c>
      <c r="C225" t="s">
        <v>304</v>
      </c>
      <c r="D225">
        <v>224</v>
      </c>
      <c r="F225" s="6"/>
    </row>
    <row r="226" spans="1:6" x14ac:dyDescent="0.2">
      <c r="A226" t="s">
        <v>807</v>
      </c>
      <c r="B226" s="8" t="str">
        <f t="shared" si="3"/>
        <v>SRV002.M3000CV003CURR_0.F_CV - 3000CV003   Corriente Promedio</v>
      </c>
      <c r="C226" t="s">
        <v>301</v>
      </c>
      <c r="D226">
        <v>225</v>
      </c>
      <c r="F226" s="6"/>
    </row>
    <row r="227" spans="1:6" x14ac:dyDescent="0.2">
      <c r="A227" t="s">
        <v>811</v>
      </c>
      <c r="B227" s="8" t="str">
        <f t="shared" si="3"/>
        <v>SRV002.M3000CV003HRS.F_CV - 3000CV003   Horometro</v>
      </c>
      <c r="C227" t="s">
        <v>305</v>
      </c>
      <c r="D227">
        <v>226</v>
      </c>
      <c r="F227" s="6"/>
    </row>
    <row r="228" spans="1:6" x14ac:dyDescent="0.2">
      <c r="A228" t="s">
        <v>812</v>
      </c>
      <c r="B228" s="8" t="str">
        <f t="shared" si="3"/>
        <v>SRV002.M3000CV003POT_0.F_CV - 3000CV003   Potencia Activa</v>
      </c>
      <c r="C228" t="s">
        <v>306</v>
      </c>
      <c r="D228">
        <v>227</v>
      </c>
      <c r="F228" s="6"/>
    </row>
    <row r="229" spans="1:6" x14ac:dyDescent="0.2">
      <c r="A229" t="s">
        <v>813</v>
      </c>
      <c r="B229" s="8" t="str">
        <f t="shared" si="3"/>
        <v>SRV002.M3000CV003POT_1.F_CV - 3000CV003   Potencia Reactiva</v>
      </c>
      <c r="C229" t="s">
        <v>307</v>
      </c>
      <c r="D229">
        <v>228</v>
      </c>
      <c r="F229" s="6"/>
    </row>
    <row r="230" spans="1:6" x14ac:dyDescent="0.2">
      <c r="A230" t="s">
        <v>816</v>
      </c>
      <c r="B230" s="8" t="str">
        <f t="shared" si="3"/>
        <v>SRV002.M3000CV004CURR_1.F_CV - 3000CV004   Corriente Fase A AD</v>
      </c>
      <c r="C230" t="s">
        <v>310</v>
      </c>
      <c r="D230">
        <v>229</v>
      </c>
      <c r="F230" s="6"/>
    </row>
    <row r="231" spans="1:6" x14ac:dyDescent="0.2">
      <c r="A231" t="s">
        <v>817</v>
      </c>
      <c r="B231" s="8" t="str">
        <f t="shared" si="3"/>
        <v>SRV002.M3000CV004CURR_2.F_CV - 3000CV004   Corriente Fase B AD</v>
      </c>
      <c r="C231" t="s">
        <v>311</v>
      </c>
      <c r="D231">
        <v>230</v>
      </c>
      <c r="F231" s="6"/>
    </row>
    <row r="232" spans="1:6" x14ac:dyDescent="0.2">
      <c r="A232" t="s">
        <v>818</v>
      </c>
      <c r="B232" s="8" t="str">
        <f t="shared" si="3"/>
        <v>SRV002.M3000CV004CURR_3.F_CV - 3000CV004   Corriente Fase C AD</v>
      </c>
      <c r="C232" t="s">
        <v>312</v>
      </c>
      <c r="D232">
        <v>231</v>
      </c>
      <c r="F232" s="6"/>
    </row>
    <row r="233" spans="1:6" x14ac:dyDescent="0.2">
      <c r="A233" t="s">
        <v>815</v>
      </c>
      <c r="B233" s="8" t="str">
        <f t="shared" si="3"/>
        <v>SRV002.M3000CV004CURR_0.F_CV - 3000CV004   Corriente Promedio AD</v>
      </c>
      <c r="C233" t="s">
        <v>309</v>
      </c>
      <c r="D233">
        <v>232</v>
      </c>
      <c r="F233" s="6"/>
    </row>
    <row r="234" spans="1:6" x14ac:dyDescent="0.2">
      <c r="A234" t="s">
        <v>822</v>
      </c>
      <c r="B234" s="8" t="str">
        <f t="shared" si="3"/>
        <v>SRV002.M3000CV004PAR_1.F_CV - 3000CV004   Corriente salida del Motor</v>
      </c>
      <c r="C234" t="s">
        <v>316</v>
      </c>
      <c r="D234">
        <v>233</v>
      </c>
      <c r="F234" s="6"/>
    </row>
    <row r="235" spans="1:6" x14ac:dyDescent="0.2">
      <c r="A235" t="s">
        <v>819</v>
      </c>
      <c r="B235" s="8" t="str">
        <f t="shared" si="3"/>
        <v>SRV002.M3000CV004CURR_4.F_CV - 3000CV004   Desbalance de Corriente AD</v>
      </c>
      <c r="C235" t="s">
        <v>313</v>
      </c>
      <c r="D235">
        <v>234</v>
      </c>
      <c r="F235" s="6"/>
    </row>
    <row r="236" spans="1:6" x14ac:dyDescent="0.2">
      <c r="A236" t="s">
        <v>821</v>
      </c>
      <c r="B236" s="8" t="str">
        <f t="shared" si="3"/>
        <v>SRV002.M3000CV004PAR_0.F_CV - 3000CV004   Frecuencia del Motor</v>
      </c>
      <c r="C236" t="s">
        <v>315</v>
      </c>
      <c r="D236">
        <v>235</v>
      </c>
      <c r="F236" s="6"/>
    </row>
    <row r="237" spans="1:6" x14ac:dyDescent="0.2">
      <c r="A237" t="s">
        <v>820</v>
      </c>
      <c r="B237" s="8" t="str">
        <f t="shared" si="3"/>
        <v>SRV002.M3000CV004HRS.F_CV - 3000CV004   Horometro</v>
      </c>
      <c r="C237" t="s">
        <v>314</v>
      </c>
      <c r="D237">
        <v>236</v>
      </c>
      <c r="F237" s="6"/>
    </row>
    <row r="238" spans="1:6" x14ac:dyDescent="0.2">
      <c r="A238" t="s">
        <v>814</v>
      </c>
      <c r="B238" s="8" t="str">
        <f t="shared" si="3"/>
        <v>SRV002.M3000CV004ACT.F_CV - 3000CV004   Referencia Actual</v>
      </c>
      <c r="C238" t="s">
        <v>308</v>
      </c>
      <c r="D238">
        <v>237</v>
      </c>
      <c r="F238" s="6"/>
    </row>
    <row r="239" spans="1:6" x14ac:dyDescent="0.2">
      <c r="A239" t="s">
        <v>825</v>
      </c>
      <c r="B239" s="8" t="str">
        <f t="shared" si="3"/>
        <v>SRV002.M3000CV004PAR_4.F_CV - 3000CV004   Referencia Local</v>
      </c>
      <c r="C239" t="s">
        <v>319</v>
      </c>
      <c r="D239">
        <v>238</v>
      </c>
      <c r="F239" s="6"/>
    </row>
    <row r="240" spans="1:6" x14ac:dyDescent="0.2">
      <c r="A240" t="s">
        <v>826</v>
      </c>
      <c r="B240" s="8" t="str">
        <f t="shared" si="3"/>
        <v>SRV002.M3000CV004REF.F_CV - 3000CV004   Referencia Remoto</v>
      </c>
      <c r="C240" t="s">
        <v>320</v>
      </c>
      <c r="D240">
        <v>239</v>
      </c>
      <c r="F240" s="6"/>
    </row>
    <row r="241" spans="1:6" x14ac:dyDescent="0.2">
      <c r="A241" t="s">
        <v>824</v>
      </c>
      <c r="B241" s="8" t="str">
        <f t="shared" si="3"/>
        <v>SRV002.M3000CV004PAR_3.F_CV - 3000CV004   Voltaje Bus DC del Motor</v>
      </c>
      <c r="C241" t="s">
        <v>318</v>
      </c>
      <c r="D241">
        <v>240</v>
      </c>
      <c r="F241" s="6"/>
    </row>
    <row r="242" spans="1:6" x14ac:dyDescent="0.2">
      <c r="A242" t="s">
        <v>823</v>
      </c>
      <c r="B242" s="8" t="str">
        <f t="shared" si="3"/>
        <v>SRV002.M3000CV004PAR_2.F_CV - 3000CV004   Voltaje salida del Motor</v>
      </c>
      <c r="C242" t="s">
        <v>317</v>
      </c>
      <c r="D242">
        <v>241</v>
      </c>
      <c r="F242" s="6"/>
    </row>
    <row r="243" spans="1:6" x14ac:dyDescent="0.2">
      <c r="A243" t="s">
        <v>828</v>
      </c>
      <c r="B243" s="8" t="str">
        <f t="shared" si="3"/>
        <v>SRV002.M3000CV005CURR_1.F_CV - 3000CV005   Corriente Fase A</v>
      </c>
      <c r="C243" t="s">
        <v>322</v>
      </c>
      <c r="D243">
        <v>242</v>
      </c>
      <c r="F243" s="6"/>
    </row>
    <row r="244" spans="1:6" x14ac:dyDescent="0.2">
      <c r="A244" t="s">
        <v>829</v>
      </c>
      <c r="B244" s="8" t="str">
        <f t="shared" si="3"/>
        <v>SRV002.M3000CV005CURR_2.F_CV - 3000CV005   Corriente Fase B</v>
      </c>
      <c r="C244" t="s">
        <v>323</v>
      </c>
      <c r="D244">
        <v>243</v>
      </c>
      <c r="F244" s="6"/>
    </row>
    <row r="245" spans="1:6" x14ac:dyDescent="0.2">
      <c r="A245" t="s">
        <v>830</v>
      </c>
      <c r="B245" s="8" t="str">
        <f t="shared" si="3"/>
        <v>SRV002.M3000CV005CURR_3.F_CV - 3000CV005   Corriente Fase C</v>
      </c>
      <c r="C245" t="s">
        <v>324</v>
      </c>
      <c r="D245">
        <v>244</v>
      </c>
      <c r="F245" s="6"/>
    </row>
    <row r="246" spans="1:6" x14ac:dyDescent="0.2">
      <c r="A246" t="s">
        <v>827</v>
      </c>
      <c r="B246" s="8" t="str">
        <f t="shared" si="3"/>
        <v>SRV002.M3000CV005CURR_0.F_CV - 3000CV005   Corriente Promedio</v>
      </c>
      <c r="C246" t="s">
        <v>321</v>
      </c>
      <c r="D246">
        <v>245</v>
      </c>
      <c r="F246" s="6"/>
    </row>
    <row r="247" spans="1:6" x14ac:dyDescent="0.2">
      <c r="A247" t="s">
        <v>831</v>
      </c>
      <c r="B247" s="8" t="str">
        <f t="shared" si="3"/>
        <v>SRV002.M3000CV005HRS.F_CV - 3000CV005   Horometro</v>
      </c>
      <c r="C247" t="s">
        <v>325</v>
      </c>
      <c r="D247">
        <v>246</v>
      </c>
      <c r="F247" s="6"/>
    </row>
    <row r="248" spans="1:6" x14ac:dyDescent="0.2">
      <c r="A248" t="s">
        <v>832</v>
      </c>
      <c r="B248" s="8" t="str">
        <f t="shared" si="3"/>
        <v>SRV002.M3000CV005POT_0.F_CV - 3000CV005   Potencia Activa</v>
      </c>
      <c r="C248" t="s">
        <v>326</v>
      </c>
      <c r="D248">
        <v>247</v>
      </c>
      <c r="F248" s="6"/>
    </row>
    <row r="249" spans="1:6" x14ac:dyDescent="0.2">
      <c r="A249" t="s">
        <v>833</v>
      </c>
      <c r="B249" s="8" t="str">
        <f t="shared" si="3"/>
        <v>SRV002.M3000CV005POT_1.F_CV - 3000CV005   Potencia Reactiva</v>
      </c>
      <c r="C249" t="s">
        <v>327</v>
      </c>
      <c r="D249">
        <v>248</v>
      </c>
      <c r="F249" s="6"/>
    </row>
    <row r="250" spans="1:6" x14ac:dyDescent="0.2">
      <c r="A250" t="s">
        <v>836</v>
      </c>
      <c r="B250" s="8" t="str">
        <f t="shared" si="3"/>
        <v>SRV002.M3000CV006CURR_1.F_CV - 3000CV006   Corriente Fase A AD</v>
      </c>
      <c r="C250" t="s">
        <v>330</v>
      </c>
      <c r="D250">
        <v>249</v>
      </c>
      <c r="F250" s="6"/>
    </row>
    <row r="251" spans="1:6" x14ac:dyDescent="0.2">
      <c r="A251" t="s">
        <v>837</v>
      </c>
      <c r="B251" s="8" t="str">
        <f t="shared" si="3"/>
        <v>SRV002.M3000CV006CURR_2.F_CV - 3000CV006   Corriente Fase B AD</v>
      </c>
      <c r="C251" t="s">
        <v>331</v>
      </c>
      <c r="D251">
        <v>250</v>
      </c>
      <c r="F251" s="6"/>
    </row>
    <row r="252" spans="1:6" x14ac:dyDescent="0.2">
      <c r="A252" t="s">
        <v>838</v>
      </c>
      <c r="B252" s="8" t="str">
        <f t="shared" si="3"/>
        <v>SRV002.M3000CV006CURR_3.F_CV - 3000CV006   Corriente Fase C AD</v>
      </c>
      <c r="C252" t="s">
        <v>332</v>
      </c>
      <c r="D252">
        <v>251</v>
      </c>
      <c r="F252" s="6"/>
    </row>
    <row r="253" spans="1:6" x14ac:dyDescent="0.2">
      <c r="A253" t="s">
        <v>835</v>
      </c>
      <c r="B253" s="8" t="str">
        <f t="shared" si="3"/>
        <v>SRV002.M3000CV006CURR_0.F_CV - 3000CV006   Corriente Promedio AD</v>
      </c>
      <c r="C253" t="s">
        <v>329</v>
      </c>
      <c r="D253">
        <v>252</v>
      </c>
      <c r="F253" s="6"/>
    </row>
    <row r="254" spans="1:6" x14ac:dyDescent="0.2">
      <c r="A254" t="s">
        <v>842</v>
      </c>
      <c r="B254" s="8" t="str">
        <f t="shared" si="3"/>
        <v>SRV002.M3000CV006PAR_1.F_CV - 3000CV006   Corriente salida del Motor</v>
      </c>
      <c r="C254" t="s">
        <v>336</v>
      </c>
      <c r="D254">
        <v>253</v>
      </c>
      <c r="F254" s="6"/>
    </row>
    <row r="255" spans="1:6" x14ac:dyDescent="0.2">
      <c r="A255" t="s">
        <v>839</v>
      </c>
      <c r="B255" s="8" t="str">
        <f t="shared" si="3"/>
        <v>SRV002.M3000CV006CURR_4.F_CV - 3000CV006   Desbalance de Corriente AD</v>
      </c>
      <c r="C255" t="s">
        <v>333</v>
      </c>
      <c r="D255">
        <v>254</v>
      </c>
      <c r="F255" s="6"/>
    </row>
    <row r="256" spans="1:6" x14ac:dyDescent="0.2">
      <c r="A256" t="s">
        <v>841</v>
      </c>
      <c r="B256" s="8" t="str">
        <f t="shared" si="3"/>
        <v>SRV002.M3000CV006PAR_0.F_CV - 3000CV006   Frecuencia del Motor</v>
      </c>
      <c r="C256" t="s">
        <v>335</v>
      </c>
      <c r="D256">
        <v>255</v>
      </c>
      <c r="F256" s="6"/>
    </row>
    <row r="257" spans="1:6" x14ac:dyDescent="0.2">
      <c r="A257" t="s">
        <v>840</v>
      </c>
      <c r="B257" s="8" t="str">
        <f t="shared" si="3"/>
        <v>SRV002.M3000CV006HRS.F_CV - 3000CV006   Horometro</v>
      </c>
      <c r="C257" t="s">
        <v>334</v>
      </c>
      <c r="D257">
        <v>256</v>
      </c>
      <c r="F257" s="6"/>
    </row>
    <row r="258" spans="1:6" x14ac:dyDescent="0.2">
      <c r="A258" t="s">
        <v>834</v>
      </c>
      <c r="B258" s="8" t="str">
        <f t="shared" si="3"/>
        <v>SRV002.M3000CV006ACT.F_CV - 3000CV006   Referencia Actual</v>
      </c>
      <c r="C258" t="s">
        <v>328</v>
      </c>
      <c r="D258">
        <v>257</v>
      </c>
      <c r="F258" s="6"/>
    </row>
    <row r="259" spans="1:6" x14ac:dyDescent="0.2">
      <c r="A259" t="s">
        <v>845</v>
      </c>
      <c r="B259" s="8" t="str">
        <f t="shared" ref="B259:B322" si="4">C259&amp;" - "&amp;A259</f>
        <v>SRV002.M3000CV006PAR_4.F_CV - 3000CV006   Referencia Local</v>
      </c>
      <c r="C259" t="s">
        <v>339</v>
      </c>
      <c r="D259">
        <v>258</v>
      </c>
      <c r="F259" s="6"/>
    </row>
    <row r="260" spans="1:6" x14ac:dyDescent="0.2">
      <c r="A260" t="s">
        <v>846</v>
      </c>
      <c r="B260" s="8" t="str">
        <f t="shared" si="4"/>
        <v>SRV002.M3000CV006REF.F_CV - 3000CV006   Referencia Remoto</v>
      </c>
      <c r="C260" t="s">
        <v>340</v>
      </c>
      <c r="D260">
        <v>259</v>
      </c>
      <c r="F260" s="6"/>
    </row>
    <row r="261" spans="1:6" x14ac:dyDescent="0.2">
      <c r="A261" t="s">
        <v>844</v>
      </c>
      <c r="B261" s="8" t="str">
        <f t="shared" si="4"/>
        <v>SRV002.M3000CV006PAR_3.F_CV - 3000CV006   Voltaje Bus DC del Motor</v>
      </c>
      <c r="C261" t="s">
        <v>338</v>
      </c>
      <c r="D261">
        <v>260</v>
      </c>
      <c r="F261" s="6"/>
    </row>
    <row r="262" spans="1:6" x14ac:dyDescent="0.2">
      <c r="A262" t="s">
        <v>843</v>
      </c>
      <c r="B262" s="8" t="str">
        <f t="shared" si="4"/>
        <v>SRV002.M3000CV006PAR_2.F_CV - 3000CV006   Voltaje salida del Motor</v>
      </c>
      <c r="C262" t="s">
        <v>337</v>
      </c>
      <c r="D262">
        <v>261</v>
      </c>
      <c r="F262" s="6"/>
    </row>
    <row r="263" spans="1:6" x14ac:dyDescent="0.2">
      <c r="A263" t="s">
        <v>847</v>
      </c>
      <c r="B263" s="8" t="str">
        <f t="shared" si="4"/>
        <v>SRV002.M3000EL001HRS.F_CV - 3000EL001   Horometro</v>
      </c>
      <c r="C263" t="s">
        <v>341</v>
      </c>
      <c r="D263">
        <v>262</v>
      </c>
      <c r="F263" s="6"/>
    </row>
    <row r="264" spans="1:6" x14ac:dyDescent="0.2">
      <c r="A264" t="s">
        <v>848</v>
      </c>
      <c r="B264" s="8" t="str">
        <f t="shared" si="4"/>
        <v>SRV002.M3000EL002HRS.F_CV - 3000EL002   Horometro</v>
      </c>
      <c r="C264" t="s">
        <v>342</v>
      </c>
      <c r="D264">
        <v>263</v>
      </c>
      <c r="F264" s="6"/>
    </row>
    <row r="265" spans="1:6" x14ac:dyDescent="0.2">
      <c r="A265" t="s">
        <v>851</v>
      </c>
      <c r="B265" s="8" t="str">
        <f t="shared" si="4"/>
        <v>SRV002.M3000FE001CURR_1.F_CV - 3000FE001   Corriente Fase A AD</v>
      </c>
      <c r="C265" t="s">
        <v>345</v>
      </c>
      <c r="D265">
        <v>264</v>
      </c>
      <c r="F265" s="6"/>
    </row>
    <row r="266" spans="1:6" x14ac:dyDescent="0.2">
      <c r="A266" t="s">
        <v>852</v>
      </c>
      <c r="B266" s="8" t="str">
        <f t="shared" si="4"/>
        <v>SRV002.M3000FE001CURR_2.F_CV - 3000FE001   Corriente Fase B AD</v>
      </c>
      <c r="C266" t="s">
        <v>346</v>
      </c>
      <c r="D266">
        <v>265</v>
      </c>
      <c r="F266" s="6"/>
    </row>
    <row r="267" spans="1:6" x14ac:dyDescent="0.2">
      <c r="A267" t="s">
        <v>853</v>
      </c>
      <c r="B267" s="8" t="str">
        <f t="shared" si="4"/>
        <v>SRV002.M3000FE001CURR_3.F_CV - 3000FE001   Corriente Fase C AD</v>
      </c>
      <c r="C267" t="s">
        <v>347</v>
      </c>
      <c r="D267">
        <v>266</v>
      </c>
      <c r="F267" s="6"/>
    </row>
    <row r="268" spans="1:6" x14ac:dyDescent="0.2">
      <c r="A268" t="s">
        <v>850</v>
      </c>
      <c r="B268" s="8" t="str">
        <f t="shared" si="4"/>
        <v>SRV002.M3000FE001CURR_0.F_CV - 3000FE001   Corriente Promedio AD</v>
      </c>
      <c r="C268" t="s">
        <v>344</v>
      </c>
      <c r="D268">
        <v>267</v>
      </c>
      <c r="F268" s="6"/>
    </row>
    <row r="269" spans="1:6" x14ac:dyDescent="0.2">
      <c r="A269" t="s">
        <v>857</v>
      </c>
      <c r="B269" s="8" t="str">
        <f t="shared" si="4"/>
        <v>SRV002.M3000FE001PAR_1.F_CV - 3000FE001   Corriente salida del Motor</v>
      </c>
      <c r="C269" t="s">
        <v>351</v>
      </c>
      <c r="D269">
        <v>268</v>
      </c>
      <c r="F269" s="6"/>
    </row>
    <row r="270" spans="1:6" x14ac:dyDescent="0.2">
      <c r="A270" t="s">
        <v>854</v>
      </c>
      <c r="B270" s="8" t="str">
        <f t="shared" si="4"/>
        <v>SRV002.M3000FE001CURR_4.F_CV - 3000FE001   Desbalance de Corriente AD</v>
      </c>
      <c r="C270" t="s">
        <v>348</v>
      </c>
      <c r="D270">
        <v>269</v>
      </c>
      <c r="F270" s="6"/>
    </row>
    <row r="271" spans="1:6" x14ac:dyDescent="0.2">
      <c r="A271" t="s">
        <v>856</v>
      </c>
      <c r="B271" s="8" t="str">
        <f t="shared" si="4"/>
        <v>SRV002.M3000FE001PAR_0.F_CV - 3000FE001   Frecuencia del Motor</v>
      </c>
      <c r="C271" t="s">
        <v>350</v>
      </c>
      <c r="D271">
        <v>270</v>
      </c>
      <c r="F271" s="6"/>
    </row>
    <row r="272" spans="1:6" x14ac:dyDescent="0.2">
      <c r="A272" t="s">
        <v>855</v>
      </c>
      <c r="B272" s="8" t="str">
        <f t="shared" si="4"/>
        <v>SRV002.M3000FE001HRS.F_CV - 3000FE001   Horometro</v>
      </c>
      <c r="C272" t="s">
        <v>349</v>
      </c>
      <c r="D272">
        <v>271</v>
      </c>
      <c r="F272" s="6"/>
    </row>
    <row r="273" spans="1:6" x14ac:dyDescent="0.2">
      <c r="A273" t="s">
        <v>849</v>
      </c>
      <c r="B273" s="8" t="str">
        <f t="shared" si="4"/>
        <v>SRV002.M3000FE001ACT.F_CV - 3000FE001   Referencia Actual</v>
      </c>
      <c r="C273" t="s">
        <v>343</v>
      </c>
      <c r="D273">
        <v>272</v>
      </c>
      <c r="F273" s="6"/>
    </row>
    <row r="274" spans="1:6" x14ac:dyDescent="0.2">
      <c r="A274" t="s">
        <v>860</v>
      </c>
      <c r="B274" s="8" t="str">
        <f t="shared" si="4"/>
        <v>SRV002.M3000FE001PAR_4.F_CV - 3000FE001   Referencia Local</v>
      </c>
      <c r="C274" t="s">
        <v>354</v>
      </c>
      <c r="D274">
        <v>273</v>
      </c>
      <c r="F274" s="6"/>
    </row>
    <row r="275" spans="1:6" x14ac:dyDescent="0.2">
      <c r="A275" t="s">
        <v>861</v>
      </c>
      <c r="B275" s="8" t="str">
        <f t="shared" si="4"/>
        <v>SRV002.M3000FE001REF.F_CV - 3000FE001   Referencia Remoto</v>
      </c>
      <c r="C275" t="s">
        <v>355</v>
      </c>
      <c r="D275">
        <v>274</v>
      </c>
      <c r="F275" s="6"/>
    </row>
    <row r="276" spans="1:6" x14ac:dyDescent="0.2">
      <c r="A276" t="s">
        <v>536</v>
      </c>
      <c r="B276" s="8" t="str">
        <f t="shared" si="4"/>
        <v>SRV002.A3000TIT3030101_REAL.F_CV - 3000FE001   Temperatura de Faja</v>
      </c>
      <c r="C276" t="s">
        <v>30</v>
      </c>
      <c r="D276">
        <v>275</v>
      </c>
      <c r="F276" s="6"/>
    </row>
    <row r="277" spans="1:6" x14ac:dyDescent="0.2">
      <c r="A277" t="s">
        <v>859</v>
      </c>
      <c r="B277" s="8" t="str">
        <f t="shared" si="4"/>
        <v>SRV002.M3000FE001PAR_3.F_CV - 3000FE001   Voltaje Bus DC del Motor</v>
      </c>
      <c r="C277" t="s">
        <v>353</v>
      </c>
      <c r="D277">
        <v>276</v>
      </c>
      <c r="F277" s="6"/>
    </row>
    <row r="278" spans="1:6" x14ac:dyDescent="0.2">
      <c r="A278" t="s">
        <v>858</v>
      </c>
      <c r="B278" s="8" t="str">
        <f t="shared" si="4"/>
        <v>SRV002.M3000FE001PAR_2.F_CV - 3000FE001   Voltaje salida del Motor</v>
      </c>
      <c r="C278" t="s">
        <v>352</v>
      </c>
      <c r="D278">
        <v>277</v>
      </c>
      <c r="F278" s="6"/>
    </row>
    <row r="279" spans="1:6" x14ac:dyDescent="0.2">
      <c r="A279" t="s">
        <v>972</v>
      </c>
      <c r="B279" s="8" t="str">
        <f t="shared" si="4"/>
        <v>SRV002.PHACU_76.F_CV - 3000MC001   Corriente Fase A</v>
      </c>
      <c r="C279" t="s">
        <v>466</v>
      </c>
      <c r="D279">
        <v>278</v>
      </c>
      <c r="F279" s="6"/>
    </row>
    <row r="280" spans="1:6" x14ac:dyDescent="0.2">
      <c r="A280" t="s">
        <v>977</v>
      </c>
      <c r="B280" s="8" t="str">
        <f t="shared" si="4"/>
        <v>SRV002.PHBCU_76.F_CV - 3000MC001   Corriente Fase B</v>
      </c>
      <c r="C280" t="s">
        <v>471</v>
      </c>
      <c r="D280">
        <v>279</v>
      </c>
      <c r="F280" s="6"/>
    </row>
    <row r="281" spans="1:6" x14ac:dyDescent="0.2">
      <c r="A281" t="s">
        <v>982</v>
      </c>
      <c r="B281" s="8" t="str">
        <f t="shared" si="4"/>
        <v>SRV002.PHCCU_76.F_CV - 3000MC001   Corriente Fase C</v>
      </c>
      <c r="C281" t="s">
        <v>476</v>
      </c>
      <c r="D281">
        <v>280</v>
      </c>
      <c r="F281" s="6"/>
    </row>
    <row r="282" spans="1:6" x14ac:dyDescent="0.2">
      <c r="A282" t="s">
        <v>537</v>
      </c>
      <c r="B282" s="8" t="str">
        <f t="shared" si="4"/>
        <v>SRV002.ARGCU_76.F_CV - 3000MC001   Corriente Promedio</v>
      </c>
      <c r="C282" t="s">
        <v>31</v>
      </c>
      <c r="D282">
        <v>281</v>
      </c>
      <c r="F282" s="6"/>
    </row>
    <row r="283" spans="1:6" x14ac:dyDescent="0.2">
      <c r="A283" t="s">
        <v>992</v>
      </c>
      <c r="B283" s="8" t="str">
        <f t="shared" si="4"/>
        <v>SRV002.REAL_NEG_76.F_CV - 3000MC001   Energía Activa Negativa</v>
      </c>
      <c r="C283" t="s">
        <v>486</v>
      </c>
      <c r="D283">
        <v>282</v>
      </c>
      <c r="F283" s="6"/>
    </row>
    <row r="284" spans="1:6" x14ac:dyDescent="0.2">
      <c r="A284" t="s">
        <v>997</v>
      </c>
      <c r="B284" s="8" t="str">
        <f t="shared" si="4"/>
        <v>SRV002.REAL_POS_76.F_CV - 3000MC001   Energía Activa Positiva</v>
      </c>
      <c r="C284" t="s">
        <v>491</v>
      </c>
      <c r="D284">
        <v>283</v>
      </c>
      <c r="F284" s="6"/>
    </row>
    <row r="285" spans="1:6" x14ac:dyDescent="0.2">
      <c r="A285" t="s">
        <v>547</v>
      </c>
      <c r="B285" s="8" t="str">
        <f t="shared" si="4"/>
        <v>SRV002.EREACTNEG_76.F_CV - 3000MC001   Energía Reactiva Negativa</v>
      </c>
      <c r="C285" t="s">
        <v>41</v>
      </c>
      <c r="D285">
        <v>284</v>
      </c>
      <c r="F285" s="6"/>
    </row>
    <row r="286" spans="1:6" x14ac:dyDescent="0.2">
      <c r="A286" t="s">
        <v>552</v>
      </c>
      <c r="B286" s="8" t="str">
        <f t="shared" si="4"/>
        <v>SRV002.EREACTPOS_76.F_CV - 3000MC001   Energía Reactiva Positiva</v>
      </c>
      <c r="C286" t="s">
        <v>46</v>
      </c>
      <c r="D286">
        <v>285</v>
      </c>
      <c r="F286" s="6"/>
    </row>
    <row r="287" spans="1:6" x14ac:dyDescent="0.2">
      <c r="A287" t="s">
        <v>967</v>
      </c>
      <c r="B287" s="8" t="str">
        <f t="shared" si="4"/>
        <v>SRV002.PH_PW_76.F_CV - 3000MC001   Factor de Potencia</v>
      </c>
      <c r="C287" t="s">
        <v>461</v>
      </c>
      <c r="D287">
        <v>286</v>
      </c>
      <c r="F287" s="6"/>
    </row>
    <row r="288" spans="1:6" x14ac:dyDescent="0.2">
      <c r="A288" t="s">
        <v>617</v>
      </c>
      <c r="B288" s="8" t="str">
        <f t="shared" si="4"/>
        <v>SRV002.FRH_76.F_CV - 3000MC001   Frecuencia</v>
      </c>
      <c r="C288" t="s">
        <v>111</v>
      </c>
      <c r="D288">
        <v>287</v>
      </c>
      <c r="F288" s="6"/>
    </row>
    <row r="289" spans="1:6" x14ac:dyDescent="0.2">
      <c r="A289" t="s">
        <v>1002</v>
      </c>
      <c r="B289" s="8" t="str">
        <f t="shared" si="4"/>
        <v>SRV002.REL_PH_76.F_CV - 3000MC001   Potencia Activa</v>
      </c>
      <c r="C289" t="s">
        <v>496</v>
      </c>
      <c r="D289">
        <v>288</v>
      </c>
      <c r="F289" s="6"/>
    </row>
    <row r="290" spans="1:6" x14ac:dyDescent="0.2">
      <c r="A290" t="s">
        <v>987</v>
      </c>
      <c r="B290" s="8" t="str">
        <f t="shared" si="4"/>
        <v>SRV002.REAC_PH_76.F_CV - 3000MC001   Potencia Reactiva</v>
      </c>
      <c r="C290" t="s">
        <v>481</v>
      </c>
      <c r="D290">
        <v>289</v>
      </c>
      <c r="F290" s="6"/>
    </row>
    <row r="291" spans="1:6" x14ac:dyDescent="0.2">
      <c r="A291" t="s">
        <v>1024</v>
      </c>
      <c r="B291" s="8" t="str">
        <f t="shared" si="4"/>
        <v>SRV002.VOLT_AB_76.F_CV - 3000MC001   Voltaje A-B</v>
      </c>
      <c r="C291" t="s">
        <v>518</v>
      </c>
      <c r="D291">
        <v>290</v>
      </c>
      <c r="F291" s="6"/>
    </row>
    <row r="292" spans="1:6" x14ac:dyDescent="0.2">
      <c r="A292" t="s">
        <v>1029</v>
      </c>
      <c r="B292" s="8" t="str">
        <f t="shared" si="4"/>
        <v>SRV002.VOLT_BC_76.F_CV - 3000MC001   Voltaje B-C</v>
      </c>
      <c r="C292" t="s">
        <v>523</v>
      </c>
      <c r="D292">
        <v>291</v>
      </c>
      <c r="F292" s="6"/>
    </row>
    <row r="293" spans="1:6" x14ac:dyDescent="0.2">
      <c r="A293" t="s">
        <v>1034</v>
      </c>
      <c r="B293" s="8" t="str">
        <f t="shared" si="4"/>
        <v>SRV002.VOLT_CA_76.F_CV - 3000MC001   Voltaje C-A</v>
      </c>
      <c r="C293" t="s">
        <v>528</v>
      </c>
      <c r="D293">
        <v>292</v>
      </c>
      <c r="F293" s="6"/>
    </row>
    <row r="294" spans="1:6" x14ac:dyDescent="0.2">
      <c r="A294" t="s">
        <v>542</v>
      </c>
      <c r="B294" s="8" t="str">
        <f t="shared" si="4"/>
        <v>SRV002.AVRLV_76.F_CV - 3000MC001   Voltaje Promedio</v>
      </c>
      <c r="C294" t="s">
        <v>36</v>
      </c>
      <c r="D294">
        <v>293</v>
      </c>
      <c r="F294" s="6"/>
    </row>
    <row r="295" spans="1:6" x14ac:dyDescent="0.2">
      <c r="A295" t="s">
        <v>974</v>
      </c>
      <c r="B295" s="8" t="str">
        <f t="shared" si="4"/>
        <v>SRV002.PHACU_78.F_CV - 3000MC002   Corriente Fase A</v>
      </c>
      <c r="C295" t="s">
        <v>468</v>
      </c>
      <c r="D295">
        <v>294</v>
      </c>
      <c r="F295" s="6"/>
    </row>
    <row r="296" spans="1:6" x14ac:dyDescent="0.2">
      <c r="A296" t="s">
        <v>979</v>
      </c>
      <c r="B296" s="8" t="str">
        <f t="shared" si="4"/>
        <v>SRV002.PHBCU_78.F_CV - 3000MC002   Corriente Fase B</v>
      </c>
      <c r="C296" t="s">
        <v>473</v>
      </c>
      <c r="D296">
        <v>295</v>
      </c>
      <c r="F296" s="6"/>
    </row>
    <row r="297" spans="1:6" x14ac:dyDescent="0.2">
      <c r="A297" t="s">
        <v>984</v>
      </c>
      <c r="B297" s="8" t="str">
        <f t="shared" si="4"/>
        <v>SRV002.PHCCU_78.F_CV - 3000MC002   Corriente Fase C</v>
      </c>
      <c r="C297" t="s">
        <v>478</v>
      </c>
      <c r="D297">
        <v>296</v>
      </c>
      <c r="F297" s="6"/>
    </row>
    <row r="298" spans="1:6" x14ac:dyDescent="0.2">
      <c r="A298" t="s">
        <v>539</v>
      </c>
      <c r="B298" s="8" t="str">
        <f t="shared" si="4"/>
        <v>SRV002.ARGCU_78.F_CV - 3000MC002   Corriente Promedio</v>
      </c>
      <c r="C298" t="s">
        <v>33</v>
      </c>
      <c r="D298">
        <v>297</v>
      </c>
      <c r="F298" s="6"/>
    </row>
    <row r="299" spans="1:6" x14ac:dyDescent="0.2">
      <c r="A299" t="s">
        <v>994</v>
      </c>
      <c r="B299" s="8" t="str">
        <f t="shared" si="4"/>
        <v>SRV002.REAL_NEG_78.F_CV - 3000MC002   Energía Activa Negativa</v>
      </c>
      <c r="C299" t="s">
        <v>488</v>
      </c>
      <c r="D299">
        <v>298</v>
      </c>
      <c r="F299" s="6"/>
    </row>
    <row r="300" spans="1:6" x14ac:dyDescent="0.2">
      <c r="A300" t="s">
        <v>999</v>
      </c>
      <c r="B300" s="8" t="str">
        <f t="shared" si="4"/>
        <v>SRV002.REAL_POS_78.F_CV - 3000MC002   Energía Activa Positiva</v>
      </c>
      <c r="C300" t="s">
        <v>493</v>
      </c>
      <c r="D300">
        <v>299</v>
      </c>
      <c r="F300" s="6"/>
    </row>
    <row r="301" spans="1:6" x14ac:dyDescent="0.2">
      <c r="A301" t="s">
        <v>549</v>
      </c>
      <c r="B301" s="8" t="str">
        <f t="shared" si="4"/>
        <v>SRV002.EREACTNEG_78.F_CV - 3000MC002   Energía Reactiva Negativa</v>
      </c>
      <c r="C301" t="s">
        <v>43</v>
      </c>
      <c r="D301">
        <v>300</v>
      </c>
      <c r="F301" s="6"/>
    </row>
    <row r="302" spans="1:6" x14ac:dyDescent="0.2">
      <c r="A302" t="s">
        <v>554</v>
      </c>
      <c r="B302" s="8" t="str">
        <f t="shared" si="4"/>
        <v>SRV002.EREACTPOS_78.F_CV - 3000MC002   Energía Reactiva Positiva</v>
      </c>
      <c r="C302" t="s">
        <v>48</v>
      </c>
      <c r="D302">
        <v>301</v>
      </c>
      <c r="F302" s="6"/>
    </row>
    <row r="303" spans="1:6" x14ac:dyDescent="0.2">
      <c r="A303" t="s">
        <v>969</v>
      </c>
      <c r="B303" s="8" t="str">
        <f t="shared" si="4"/>
        <v>SRV002.PH_PW_78.F_CV - 3000MC002   Factor de Potencia</v>
      </c>
      <c r="C303" t="s">
        <v>463</v>
      </c>
      <c r="D303">
        <v>302</v>
      </c>
      <c r="F303" s="6"/>
    </row>
    <row r="304" spans="1:6" x14ac:dyDescent="0.2">
      <c r="A304" t="s">
        <v>619</v>
      </c>
      <c r="B304" s="8" t="str">
        <f t="shared" si="4"/>
        <v>SRV002.FRH_78.F_CV - 3000MC002   Frecuencia</v>
      </c>
      <c r="C304" t="s">
        <v>113</v>
      </c>
      <c r="D304">
        <v>303</v>
      </c>
      <c r="F304" s="6"/>
    </row>
    <row r="305" spans="1:6" x14ac:dyDescent="0.2">
      <c r="A305" t="s">
        <v>1004</v>
      </c>
      <c r="B305" s="8" t="str">
        <f t="shared" si="4"/>
        <v>SRV002.REL_PH_78.F_CV - 3000MC002   Potencia Activa</v>
      </c>
      <c r="C305" t="s">
        <v>498</v>
      </c>
      <c r="D305">
        <v>304</v>
      </c>
      <c r="F305" s="6"/>
    </row>
    <row r="306" spans="1:6" x14ac:dyDescent="0.2">
      <c r="A306" t="s">
        <v>989</v>
      </c>
      <c r="B306" s="8" t="str">
        <f t="shared" si="4"/>
        <v>SRV002.REAC_PH_78.F_CV - 3000MC002   Potencia Reactiva</v>
      </c>
      <c r="C306" t="s">
        <v>483</v>
      </c>
      <c r="D306">
        <v>305</v>
      </c>
      <c r="F306" s="6"/>
    </row>
    <row r="307" spans="1:6" x14ac:dyDescent="0.2">
      <c r="A307" t="s">
        <v>1026</v>
      </c>
      <c r="B307" s="8" t="str">
        <f t="shared" si="4"/>
        <v>SRV002.VOLT_AB_78.F_CV - 3000MC002   Voltaje A-B</v>
      </c>
      <c r="C307" t="s">
        <v>520</v>
      </c>
      <c r="D307">
        <v>306</v>
      </c>
      <c r="F307" s="6"/>
    </row>
    <row r="308" spans="1:6" x14ac:dyDescent="0.2">
      <c r="A308" t="s">
        <v>1031</v>
      </c>
      <c r="B308" s="8" t="str">
        <f t="shared" si="4"/>
        <v>SRV002.VOLT_BC_78.F_CV - 3000MC002   Voltaje B-C</v>
      </c>
      <c r="C308" t="s">
        <v>525</v>
      </c>
      <c r="D308">
        <v>307</v>
      </c>
      <c r="F308" s="6"/>
    </row>
    <row r="309" spans="1:6" x14ac:dyDescent="0.2">
      <c r="A309" t="s">
        <v>1036</v>
      </c>
      <c r="B309" s="8" t="str">
        <f t="shared" si="4"/>
        <v>SRV002.VOLT_CA_78.F_CV - 3000MC002   Voltaje C-A</v>
      </c>
      <c r="C309" t="s">
        <v>530</v>
      </c>
      <c r="D309">
        <v>308</v>
      </c>
      <c r="F309" s="6"/>
    </row>
    <row r="310" spans="1:6" x14ac:dyDescent="0.2">
      <c r="A310" t="s">
        <v>544</v>
      </c>
      <c r="B310" s="8" t="str">
        <f t="shared" si="4"/>
        <v>SRV002.AVRLV_78.F_CV - 3000MC002   Voltaje Promedio</v>
      </c>
      <c r="C310" t="s">
        <v>38</v>
      </c>
      <c r="D310">
        <v>309</v>
      </c>
      <c r="F310" s="6"/>
    </row>
    <row r="311" spans="1:6" x14ac:dyDescent="0.2">
      <c r="A311" t="s">
        <v>973</v>
      </c>
      <c r="B311" s="8" t="str">
        <f t="shared" si="4"/>
        <v>SRV002.PHACU_77.F_CV - 3000MC003   Corriente Fase A</v>
      </c>
      <c r="C311" t="s">
        <v>467</v>
      </c>
      <c r="D311">
        <v>310</v>
      </c>
      <c r="F311" s="6"/>
    </row>
    <row r="312" spans="1:6" x14ac:dyDescent="0.2">
      <c r="A312" t="s">
        <v>978</v>
      </c>
      <c r="B312" s="8" t="str">
        <f t="shared" si="4"/>
        <v>SRV002.PHBCU_77.F_CV - 3000MC003   Corriente Fase B</v>
      </c>
      <c r="C312" t="s">
        <v>472</v>
      </c>
      <c r="D312">
        <v>311</v>
      </c>
      <c r="F312" s="6"/>
    </row>
    <row r="313" spans="1:6" x14ac:dyDescent="0.2">
      <c r="A313" t="s">
        <v>983</v>
      </c>
      <c r="B313" s="8" t="str">
        <f t="shared" si="4"/>
        <v>SRV002.PHCCU_77.F_CV - 3000MC003   Corriente Fase C</v>
      </c>
      <c r="C313" t="s">
        <v>477</v>
      </c>
      <c r="D313">
        <v>312</v>
      </c>
      <c r="F313" s="6"/>
    </row>
    <row r="314" spans="1:6" x14ac:dyDescent="0.2">
      <c r="A314" t="s">
        <v>538</v>
      </c>
      <c r="B314" s="8" t="str">
        <f t="shared" si="4"/>
        <v>SRV002.ARGCU_77.F_CV - 3000MC003   Corriente Promedio</v>
      </c>
      <c r="C314" t="s">
        <v>32</v>
      </c>
      <c r="D314">
        <v>313</v>
      </c>
      <c r="F314" s="6"/>
    </row>
    <row r="315" spans="1:6" x14ac:dyDescent="0.2">
      <c r="A315" t="s">
        <v>993</v>
      </c>
      <c r="B315" s="8" t="str">
        <f t="shared" si="4"/>
        <v>SRV002.REAL_NEG_77.F_CV - 3000MC003   Energía Activa Negativa</v>
      </c>
      <c r="C315" t="s">
        <v>487</v>
      </c>
      <c r="D315">
        <v>314</v>
      </c>
      <c r="F315" s="6"/>
    </row>
    <row r="316" spans="1:6" x14ac:dyDescent="0.2">
      <c r="A316" t="s">
        <v>998</v>
      </c>
      <c r="B316" s="8" t="str">
        <f t="shared" si="4"/>
        <v>SRV002.REAL_POS_77.F_CV - 3000MC003   Energía Activa Positiva</v>
      </c>
      <c r="C316" t="s">
        <v>492</v>
      </c>
      <c r="D316">
        <v>315</v>
      </c>
      <c r="F316" s="6"/>
    </row>
    <row r="317" spans="1:6" x14ac:dyDescent="0.2">
      <c r="A317" t="s">
        <v>548</v>
      </c>
      <c r="B317" s="8" t="str">
        <f t="shared" si="4"/>
        <v>SRV002.EREACTNEG_77.F_CV - 3000MC003   Energía Reactiva Negativa</v>
      </c>
      <c r="C317" t="s">
        <v>42</v>
      </c>
      <c r="D317">
        <v>316</v>
      </c>
      <c r="F317" s="6"/>
    </row>
    <row r="318" spans="1:6" x14ac:dyDescent="0.2">
      <c r="A318" t="s">
        <v>553</v>
      </c>
      <c r="B318" s="8" t="str">
        <f t="shared" si="4"/>
        <v>SRV002.EREACTPOS_77.F_CV - 3000MC003   Energía Reactiva Positiva</v>
      </c>
      <c r="C318" t="s">
        <v>47</v>
      </c>
      <c r="D318">
        <v>317</v>
      </c>
      <c r="F318" s="6"/>
    </row>
    <row r="319" spans="1:6" x14ac:dyDescent="0.2">
      <c r="A319" t="s">
        <v>968</v>
      </c>
      <c r="B319" s="8" t="str">
        <f t="shared" si="4"/>
        <v>SRV002.PH_PW_77.F_CV - 3000MC003   Factor de Potencia</v>
      </c>
      <c r="C319" t="s">
        <v>462</v>
      </c>
      <c r="D319">
        <v>318</v>
      </c>
      <c r="F319" s="6"/>
    </row>
    <row r="320" spans="1:6" x14ac:dyDescent="0.2">
      <c r="A320" t="s">
        <v>618</v>
      </c>
      <c r="B320" s="8" t="str">
        <f t="shared" si="4"/>
        <v>SRV002.FRH_77.F_CV - 3000MC003   Frecuencia</v>
      </c>
      <c r="C320" t="s">
        <v>112</v>
      </c>
      <c r="D320">
        <v>319</v>
      </c>
      <c r="F320" s="6"/>
    </row>
    <row r="321" spans="1:6" x14ac:dyDescent="0.2">
      <c r="A321" t="s">
        <v>1003</v>
      </c>
      <c r="B321" s="8" t="str">
        <f t="shared" si="4"/>
        <v>SRV002.REL_PH_77.F_CV - 3000MC003   Potencia Activa</v>
      </c>
      <c r="C321" t="s">
        <v>497</v>
      </c>
      <c r="D321">
        <v>320</v>
      </c>
      <c r="F321" s="6"/>
    </row>
    <row r="322" spans="1:6" x14ac:dyDescent="0.2">
      <c r="A322" t="s">
        <v>988</v>
      </c>
      <c r="B322" s="8" t="str">
        <f t="shared" si="4"/>
        <v>SRV002.REAC_PH_77.F_CV - 3000MC003   Potencia Reactiva</v>
      </c>
      <c r="C322" t="s">
        <v>482</v>
      </c>
      <c r="D322">
        <v>321</v>
      </c>
      <c r="F322" s="6"/>
    </row>
    <row r="323" spans="1:6" x14ac:dyDescent="0.2">
      <c r="A323" t="s">
        <v>1025</v>
      </c>
      <c r="B323" s="8" t="str">
        <f t="shared" ref="B323:B386" si="5">C323&amp;" - "&amp;A323</f>
        <v>SRV002.VOLT_AB_77.F_CV - 3000MC003   Voltaje A-B</v>
      </c>
      <c r="C323" t="s">
        <v>519</v>
      </c>
      <c r="D323">
        <v>322</v>
      </c>
      <c r="F323" s="6"/>
    </row>
    <row r="324" spans="1:6" x14ac:dyDescent="0.2">
      <c r="A324" t="s">
        <v>1030</v>
      </c>
      <c r="B324" s="8" t="str">
        <f t="shared" si="5"/>
        <v>SRV002.VOLT_BC_77.F_CV - 3000MC003   Voltaje B-C</v>
      </c>
      <c r="C324" t="s">
        <v>524</v>
      </c>
      <c r="D324">
        <v>323</v>
      </c>
      <c r="F324" s="6"/>
    </row>
    <row r="325" spans="1:6" x14ac:dyDescent="0.2">
      <c r="A325" t="s">
        <v>1035</v>
      </c>
      <c r="B325" s="8" t="str">
        <f t="shared" si="5"/>
        <v>SRV002.VOLT_CA_77.F_CV - 3000MC003   Voltaje C-A</v>
      </c>
      <c r="C325" t="s">
        <v>529</v>
      </c>
      <c r="D325">
        <v>324</v>
      </c>
      <c r="F325" s="6"/>
    </row>
    <row r="326" spans="1:6" x14ac:dyDescent="0.2">
      <c r="A326" t="s">
        <v>543</v>
      </c>
      <c r="B326" s="8" t="str">
        <f t="shared" si="5"/>
        <v>SRV002.AVRLV_77.F_CV - 3000MC003   Voltaje Promedio</v>
      </c>
      <c r="C326" t="s">
        <v>37</v>
      </c>
      <c r="D326">
        <v>325</v>
      </c>
      <c r="F326" s="6"/>
    </row>
    <row r="327" spans="1:6" x14ac:dyDescent="0.2">
      <c r="A327" t="s">
        <v>863</v>
      </c>
      <c r="B327" s="8" t="str">
        <f t="shared" si="5"/>
        <v>SRV002.M3000VE001CURR_1.F_CV - 3000VE001   Corriente Fase A AD</v>
      </c>
      <c r="C327" t="s">
        <v>357</v>
      </c>
      <c r="D327">
        <v>326</v>
      </c>
      <c r="F327" s="6"/>
    </row>
    <row r="328" spans="1:6" x14ac:dyDescent="0.2">
      <c r="A328" t="s">
        <v>864</v>
      </c>
      <c r="B328" s="8" t="str">
        <f t="shared" si="5"/>
        <v>SRV002.M3000VE001CURR_2.F_CV - 3000VE001   Corriente Fase B AD</v>
      </c>
      <c r="C328" t="s">
        <v>358</v>
      </c>
      <c r="D328">
        <v>327</v>
      </c>
      <c r="F328" s="6"/>
    </row>
    <row r="329" spans="1:6" x14ac:dyDescent="0.2">
      <c r="A329" t="s">
        <v>865</v>
      </c>
      <c r="B329" s="8" t="str">
        <f t="shared" si="5"/>
        <v>SRV002.M3000VE001CURR_3.F_CV - 3000VE001   Corriente Fase C AD</v>
      </c>
      <c r="C329" t="s">
        <v>359</v>
      </c>
      <c r="D329">
        <v>328</v>
      </c>
      <c r="F329" s="6"/>
    </row>
    <row r="330" spans="1:6" x14ac:dyDescent="0.2">
      <c r="A330" t="s">
        <v>862</v>
      </c>
      <c r="B330" s="8" t="str">
        <f t="shared" si="5"/>
        <v>SRV002.M3000VE001CURR_0.F_CV - 3000VE001   Corriente Promedio AD</v>
      </c>
      <c r="C330" t="s">
        <v>356</v>
      </c>
      <c r="D330">
        <v>329</v>
      </c>
      <c r="F330" s="6"/>
    </row>
    <row r="331" spans="1:6" x14ac:dyDescent="0.2">
      <c r="A331" t="s">
        <v>866</v>
      </c>
      <c r="B331" s="8" t="str">
        <f t="shared" si="5"/>
        <v>SRV002.M3000VE001CURR_4.F_CV - 3000VE001   Desbalance de Corriente AD</v>
      </c>
      <c r="C331" t="s">
        <v>360</v>
      </c>
      <c r="D331">
        <v>330</v>
      </c>
      <c r="F331" s="6"/>
    </row>
    <row r="332" spans="1:6" x14ac:dyDescent="0.2">
      <c r="A332" t="s">
        <v>867</v>
      </c>
      <c r="B332" s="8" t="str">
        <f t="shared" si="5"/>
        <v>SRV002.M3000VE001HRS.F_CV - 3000VE001   Horometro</v>
      </c>
      <c r="C332" t="s">
        <v>361</v>
      </c>
      <c r="D332">
        <v>331</v>
      </c>
      <c r="F332" s="6"/>
    </row>
    <row r="333" spans="1:6" x14ac:dyDescent="0.2">
      <c r="A333" t="s">
        <v>869</v>
      </c>
      <c r="B333" s="8" t="str">
        <f t="shared" si="5"/>
        <v>SRV002.M3000VE002CURR_1.F_CV - 3000VE002   Corriente Fase A</v>
      </c>
      <c r="C333" t="s">
        <v>363</v>
      </c>
      <c r="D333">
        <v>332</v>
      </c>
      <c r="F333" s="6"/>
    </row>
    <row r="334" spans="1:6" x14ac:dyDescent="0.2">
      <c r="A334" t="s">
        <v>870</v>
      </c>
      <c r="B334" s="8" t="str">
        <f t="shared" si="5"/>
        <v>SRV002.M3000VE002CURR_2.F_CV - 3000VE002   Corriente Fase B</v>
      </c>
      <c r="C334" t="s">
        <v>364</v>
      </c>
      <c r="D334">
        <v>333</v>
      </c>
      <c r="F334" s="6"/>
    </row>
    <row r="335" spans="1:6" x14ac:dyDescent="0.2">
      <c r="A335" t="s">
        <v>871</v>
      </c>
      <c r="B335" s="8" t="str">
        <f t="shared" si="5"/>
        <v>SRV002.M3000VE002CURR_3.F_CV - 3000VE002   Corriente Fase C</v>
      </c>
      <c r="C335" t="s">
        <v>365</v>
      </c>
      <c r="D335">
        <v>334</v>
      </c>
      <c r="F335" s="6"/>
    </row>
    <row r="336" spans="1:6" x14ac:dyDescent="0.2">
      <c r="A336" t="s">
        <v>868</v>
      </c>
      <c r="B336" s="8" t="str">
        <f t="shared" si="5"/>
        <v>SRV002.M3000VE002CURR_0.F_CV - 3000VE002   Corriente Promedio</v>
      </c>
      <c r="C336" t="s">
        <v>362</v>
      </c>
      <c r="D336">
        <v>335</v>
      </c>
      <c r="F336" s="6"/>
    </row>
    <row r="337" spans="1:6" x14ac:dyDescent="0.2">
      <c r="A337" t="s">
        <v>872</v>
      </c>
      <c r="B337" s="8" t="str">
        <f t="shared" si="5"/>
        <v>SRV002.M3000VE002HRS.F_CV - 3000VE002   Horometro</v>
      </c>
      <c r="C337" t="s">
        <v>366</v>
      </c>
      <c r="D337">
        <v>336</v>
      </c>
      <c r="F337" s="6"/>
    </row>
    <row r="338" spans="1:6" x14ac:dyDescent="0.2">
      <c r="A338" t="s">
        <v>873</v>
      </c>
      <c r="B338" s="8" t="str">
        <f t="shared" si="5"/>
        <v>SRV002.M3000VE002POT_0.F_CV - 3000VE002   Potencia Activa</v>
      </c>
      <c r="C338" t="s">
        <v>367</v>
      </c>
      <c r="D338">
        <v>337</v>
      </c>
      <c r="F338" s="6"/>
    </row>
    <row r="339" spans="1:6" x14ac:dyDescent="0.2">
      <c r="A339" t="s">
        <v>874</v>
      </c>
      <c r="B339" s="8" t="str">
        <f t="shared" si="5"/>
        <v>SRV002.M3000VE002POT_1.F_CV - 3000VE002   Potencia Reactiva</v>
      </c>
      <c r="C339" t="s">
        <v>368</v>
      </c>
      <c r="D339">
        <v>338</v>
      </c>
      <c r="F339" s="6"/>
    </row>
    <row r="340" spans="1:6" x14ac:dyDescent="0.2">
      <c r="A340" t="s">
        <v>876</v>
      </c>
      <c r="B340" s="8" t="str">
        <f t="shared" si="5"/>
        <v>SRV002.M3000VE003CURR_1.F_CV - 3000VE003   Corriente Fase A AD</v>
      </c>
      <c r="C340" t="s">
        <v>370</v>
      </c>
      <c r="D340">
        <v>339</v>
      </c>
      <c r="F340" s="6"/>
    </row>
    <row r="341" spans="1:6" x14ac:dyDescent="0.2">
      <c r="A341" t="s">
        <v>877</v>
      </c>
      <c r="B341" s="8" t="str">
        <f t="shared" si="5"/>
        <v>SRV002.M3000VE003CURR_2.F_CV - 3000VE003   Corriente Fase B AD</v>
      </c>
      <c r="C341" t="s">
        <v>371</v>
      </c>
      <c r="D341">
        <v>340</v>
      </c>
      <c r="F341" s="6"/>
    </row>
    <row r="342" spans="1:6" x14ac:dyDescent="0.2">
      <c r="A342" t="s">
        <v>878</v>
      </c>
      <c r="B342" s="8" t="str">
        <f t="shared" si="5"/>
        <v>SRV002.M3000VE003CURR_3.F_CV - 3000VE003   Corriente Fase C AD</v>
      </c>
      <c r="C342" t="s">
        <v>372</v>
      </c>
      <c r="D342">
        <v>341</v>
      </c>
      <c r="F342" s="6"/>
    </row>
    <row r="343" spans="1:6" x14ac:dyDescent="0.2">
      <c r="A343" t="s">
        <v>875</v>
      </c>
      <c r="B343" s="8" t="str">
        <f t="shared" si="5"/>
        <v>SRV002.M3000VE003CURR_0.F_CV - 3000VE003   Corriente Promedio AD</v>
      </c>
      <c r="C343" t="s">
        <v>369</v>
      </c>
      <c r="D343">
        <v>342</v>
      </c>
      <c r="F343" s="6"/>
    </row>
    <row r="344" spans="1:6" x14ac:dyDescent="0.2">
      <c r="A344" t="s">
        <v>879</v>
      </c>
      <c r="B344" s="8" t="str">
        <f t="shared" si="5"/>
        <v>SRV002.M3000VE003HRS.F_CV - 3000VE003   Horometro</v>
      </c>
      <c r="C344" t="s">
        <v>373</v>
      </c>
      <c r="D344">
        <v>343</v>
      </c>
      <c r="F344" s="6"/>
    </row>
    <row r="345" spans="1:6" x14ac:dyDescent="0.2">
      <c r="A345" t="s">
        <v>880</v>
      </c>
      <c r="B345" s="8" t="str">
        <f t="shared" si="5"/>
        <v>SRV002.M3000VE003POT_0.F_CV - 3000VE003   Potencia Activa</v>
      </c>
      <c r="C345" t="s">
        <v>374</v>
      </c>
      <c r="D345">
        <v>344</v>
      </c>
      <c r="F345" s="6"/>
    </row>
    <row r="346" spans="1:6" x14ac:dyDescent="0.2">
      <c r="A346" t="s">
        <v>881</v>
      </c>
      <c r="B346" s="8" t="str">
        <f t="shared" si="5"/>
        <v>SRV002.M3000VE003POT_1.F_CV - 3000VE003   Potencia Reactiva</v>
      </c>
      <c r="C346" t="s">
        <v>375</v>
      </c>
      <c r="D346">
        <v>345</v>
      </c>
      <c r="F346" s="6"/>
    </row>
    <row r="347" spans="1:6" x14ac:dyDescent="0.2">
      <c r="A347" t="s">
        <v>1018</v>
      </c>
      <c r="B347" s="8" t="str">
        <f t="shared" si="5"/>
        <v>SRV002.V3000VG001_CUR.F_CV - 3000VG001   Corriente Promedio</v>
      </c>
      <c r="C347" t="s">
        <v>512</v>
      </c>
      <c r="D347">
        <v>346</v>
      </c>
      <c r="F347" s="6"/>
    </row>
    <row r="348" spans="1:6" x14ac:dyDescent="0.2">
      <c r="A348" t="s">
        <v>1020</v>
      </c>
      <c r="B348" s="8" t="str">
        <f t="shared" si="5"/>
        <v>SRV002.V3000VG001_LVL_ENTRY.F_CV - 3000VG001   Nivel de Tolva a la Entrada</v>
      </c>
      <c r="C348" t="s">
        <v>514</v>
      </c>
      <c r="D348">
        <v>347</v>
      </c>
      <c r="F348" s="6"/>
    </row>
    <row r="349" spans="1:6" x14ac:dyDescent="0.2">
      <c r="A349" t="s">
        <v>1021</v>
      </c>
      <c r="B349" s="8" t="str">
        <f t="shared" si="5"/>
        <v>SRV002.V3000VG001_LVL_EXIT.F_CV - 3000VG001   Nivel de Tolva a la Salida</v>
      </c>
      <c r="C349" t="s">
        <v>515</v>
      </c>
      <c r="D349">
        <v>348</v>
      </c>
      <c r="F349" s="6"/>
    </row>
    <row r="350" spans="1:6" x14ac:dyDescent="0.2">
      <c r="A350" t="s">
        <v>1019</v>
      </c>
      <c r="B350" s="8" t="str">
        <f t="shared" si="5"/>
        <v>SRV002.V3000VG001_GROSS.F_CV - 3000VG001   Peso Bruto</v>
      </c>
      <c r="C350" t="s">
        <v>513</v>
      </c>
      <c r="D350">
        <v>349</v>
      </c>
      <c r="F350" s="6"/>
    </row>
    <row r="351" spans="1:6" x14ac:dyDescent="0.2">
      <c r="A351" t="s">
        <v>1022</v>
      </c>
      <c r="B351" s="8" t="str">
        <f t="shared" si="5"/>
        <v>SRV002.V3000VG001_NETT.F_CV - 3000VG001   Peso Neto</v>
      </c>
      <c r="C351" t="s">
        <v>516</v>
      </c>
      <c r="D351">
        <v>350</v>
      </c>
      <c r="F351" s="6"/>
    </row>
    <row r="352" spans="1:6" x14ac:dyDescent="0.2">
      <c r="A352" t="s">
        <v>1023</v>
      </c>
      <c r="B352" s="8" t="str">
        <f t="shared" si="5"/>
        <v>SRV002.V3000VG001_TARE.F_CV - 3000VG001   Tara</v>
      </c>
      <c r="C352" t="s">
        <v>517</v>
      </c>
      <c r="D352">
        <v>351</v>
      </c>
      <c r="F352" s="6"/>
    </row>
    <row r="353" spans="1:6" x14ac:dyDescent="0.2">
      <c r="A353" t="s">
        <v>883</v>
      </c>
      <c r="B353" s="8" t="str">
        <f t="shared" si="5"/>
        <v>SRV002.M3000VR002CURR_1.F_CV - 3000VR002   Corriente Fase A AD</v>
      </c>
      <c r="C353" t="s">
        <v>377</v>
      </c>
      <c r="D353">
        <v>352</v>
      </c>
      <c r="F353" s="6"/>
    </row>
    <row r="354" spans="1:6" x14ac:dyDescent="0.2">
      <c r="A354" t="s">
        <v>884</v>
      </c>
      <c r="B354" s="8" t="str">
        <f t="shared" si="5"/>
        <v>SRV002.M3000VR002CURR_2.F_CV - 3000VR002   Corriente Fase B AD</v>
      </c>
      <c r="C354" t="s">
        <v>378</v>
      </c>
      <c r="D354">
        <v>353</v>
      </c>
      <c r="F354" s="6"/>
    </row>
    <row r="355" spans="1:6" x14ac:dyDescent="0.2">
      <c r="A355" t="s">
        <v>885</v>
      </c>
      <c r="B355" s="8" t="str">
        <f t="shared" si="5"/>
        <v>SRV002.M3000VR002CURR_3.F_CV - 3000VR002   Corriente Fase C AD</v>
      </c>
      <c r="C355" t="s">
        <v>379</v>
      </c>
      <c r="D355">
        <v>354</v>
      </c>
      <c r="F355" s="6"/>
    </row>
    <row r="356" spans="1:6" x14ac:dyDescent="0.2">
      <c r="A356" t="s">
        <v>882</v>
      </c>
      <c r="B356" s="8" t="str">
        <f t="shared" si="5"/>
        <v>SRV002.M3000VR002CURR_0.F_CV - 3000VR002   Corriente Promedio AD</v>
      </c>
      <c r="C356" t="s">
        <v>376</v>
      </c>
      <c r="D356">
        <v>355</v>
      </c>
      <c r="F356" s="6"/>
    </row>
    <row r="357" spans="1:6" x14ac:dyDescent="0.2">
      <c r="A357" t="s">
        <v>886</v>
      </c>
      <c r="B357" s="8" t="str">
        <f t="shared" si="5"/>
        <v>SRV002.M3000VR002CURR_4.F_CV - 3000VR002   Desbalance de Corriente AD</v>
      </c>
      <c r="C357" t="s">
        <v>380</v>
      </c>
      <c r="D357">
        <v>356</v>
      </c>
      <c r="F357" s="6"/>
    </row>
    <row r="358" spans="1:6" x14ac:dyDescent="0.2">
      <c r="A358" t="s">
        <v>887</v>
      </c>
      <c r="B358" s="8" t="str">
        <f t="shared" si="5"/>
        <v>SRV002.M3000VR002HRS.F_CV - 3000VR002   Horometro</v>
      </c>
      <c r="C358" t="s">
        <v>381</v>
      </c>
      <c r="D358">
        <v>357</v>
      </c>
      <c r="F358" s="6"/>
    </row>
    <row r="359" spans="1:6" x14ac:dyDescent="0.2">
      <c r="A359" t="s">
        <v>889</v>
      </c>
      <c r="B359" s="8" t="str">
        <f t="shared" si="5"/>
        <v>SRV002.M3000VR003CURR_1.F_CV - 3000VR003   Corriente Fase A AD</v>
      </c>
      <c r="C359" t="s">
        <v>383</v>
      </c>
      <c r="D359">
        <v>358</v>
      </c>
      <c r="F359" s="6"/>
    </row>
    <row r="360" spans="1:6" x14ac:dyDescent="0.2">
      <c r="A360" t="s">
        <v>890</v>
      </c>
      <c r="B360" s="8" t="str">
        <f t="shared" si="5"/>
        <v>SRV002.M3000VR003CURR_2.F_CV - 3000VR003   Corriente Fase B AD</v>
      </c>
      <c r="C360" t="s">
        <v>384</v>
      </c>
      <c r="D360">
        <v>359</v>
      </c>
      <c r="F360" s="6"/>
    </row>
    <row r="361" spans="1:6" x14ac:dyDescent="0.2">
      <c r="A361" t="s">
        <v>891</v>
      </c>
      <c r="B361" s="8" t="str">
        <f t="shared" si="5"/>
        <v>SRV002.M3000VR003CURR_3.F_CV - 3000VR003   Corriente Fase C AD</v>
      </c>
      <c r="C361" t="s">
        <v>385</v>
      </c>
      <c r="D361">
        <v>360</v>
      </c>
      <c r="F361" s="6"/>
    </row>
    <row r="362" spans="1:6" x14ac:dyDescent="0.2">
      <c r="A362" t="s">
        <v>888</v>
      </c>
      <c r="B362" s="8" t="str">
        <f t="shared" si="5"/>
        <v>SRV002.M3000VR003CURR_0.F_CV - 3000VR003   Corriente Promedio AD</v>
      </c>
      <c r="C362" t="s">
        <v>382</v>
      </c>
      <c r="D362">
        <v>361</v>
      </c>
      <c r="F362" s="6"/>
    </row>
    <row r="363" spans="1:6" x14ac:dyDescent="0.2">
      <c r="A363" t="s">
        <v>892</v>
      </c>
      <c r="B363" s="8" t="str">
        <f t="shared" si="5"/>
        <v>SRV002.M3000VR003CURR_4.F_CV - 3000VR003   Desbalance de Corriente AD</v>
      </c>
      <c r="C363" t="s">
        <v>386</v>
      </c>
      <c r="D363">
        <v>362</v>
      </c>
      <c r="F363" s="6"/>
    </row>
    <row r="364" spans="1:6" x14ac:dyDescent="0.2">
      <c r="A364" t="s">
        <v>893</v>
      </c>
      <c r="B364" s="8" t="str">
        <f t="shared" si="5"/>
        <v>SRV002.M3000VR003HRS.F_CV - 3000VR003   Horometro</v>
      </c>
      <c r="C364" t="s">
        <v>387</v>
      </c>
      <c r="D364">
        <v>363</v>
      </c>
      <c r="F364" s="6"/>
    </row>
    <row r="365" spans="1:6" x14ac:dyDescent="0.2">
      <c r="A365" t="s">
        <v>895</v>
      </c>
      <c r="B365" s="8" t="str">
        <f t="shared" si="5"/>
        <v>SRV002.M4200BA001CURR_1.F_CV - 4200BA001   Corriente Fase A AD</v>
      </c>
      <c r="C365" t="s">
        <v>389</v>
      </c>
      <c r="D365">
        <v>364</v>
      </c>
      <c r="F365" s="6"/>
    </row>
    <row r="366" spans="1:6" x14ac:dyDescent="0.2">
      <c r="A366" t="s">
        <v>896</v>
      </c>
      <c r="B366" s="8" t="str">
        <f t="shared" si="5"/>
        <v>SRV002.M4200BA001CURR_2.F_CV - 4200BA001   Corriente Fase B AD</v>
      </c>
      <c r="C366" t="s">
        <v>390</v>
      </c>
      <c r="D366">
        <v>365</v>
      </c>
      <c r="F366" s="6"/>
    </row>
    <row r="367" spans="1:6" x14ac:dyDescent="0.2">
      <c r="A367" t="s">
        <v>897</v>
      </c>
      <c r="B367" s="8" t="str">
        <f t="shared" si="5"/>
        <v>SRV002.M4200BA001CURR_3.F_CV - 4200BA001   Corriente Fase C AD</v>
      </c>
      <c r="C367" t="s">
        <v>391</v>
      </c>
      <c r="D367">
        <v>366</v>
      </c>
      <c r="F367" s="6"/>
    </row>
    <row r="368" spans="1:6" x14ac:dyDescent="0.2">
      <c r="A368" t="s">
        <v>894</v>
      </c>
      <c r="B368" s="8" t="str">
        <f t="shared" si="5"/>
        <v>SRV002.M4200BA001CURR_0.F_CV - 4200BA001   Corriente Promedio AD</v>
      </c>
      <c r="C368" t="s">
        <v>388</v>
      </c>
      <c r="D368">
        <v>367</v>
      </c>
      <c r="F368" s="6"/>
    </row>
    <row r="369" spans="1:6" x14ac:dyDescent="0.2">
      <c r="A369" t="s">
        <v>898</v>
      </c>
      <c r="B369" s="8" t="str">
        <f t="shared" si="5"/>
        <v>SRV002.M4200BA001HRS.F_CV - 4200BA001   Horometro</v>
      </c>
      <c r="C369" t="s">
        <v>392</v>
      </c>
      <c r="D369">
        <v>368</v>
      </c>
      <c r="F369" s="6"/>
    </row>
    <row r="370" spans="1:6" x14ac:dyDescent="0.2">
      <c r="A370" t="s">
        <v>899</v>
      </c>
      <c r="B370" s="8" t="str">
        <f t="shared" si="5"/>
        <v>SRV002.M4200BA001POT_0.F_CV - 4200BA001   Potencia Activa</v>
      </c>
      <c r="C370" t="s">
        <v>393</v>
      </c>
      <c r="D370">
        <v>369</v>
      </c>
      <c r="F370" s="6"/>
    </row>
    <row r="371" spans="1:6" x14ac:dyDescent="0.2">
      <c r="A371" t="s">
        <v>900</v>
      </c>
      <c r="B371" s="8" t="str">
        <f t="shared" si="5"/>
        <v>SRV002.M4200BA001POT_1.F_CV - 4200BA001   Potencia Reactiva</v>
      </c>
      <c r="C371" t="s">
        <v>394</v>
      </c>
      <c r="D371">
        <v>370</v>
      </c>
      <c r="F371" s="6"/>
    </row>
    <row r="372" spans="1:6" x14ac:dyDescent="0.2">
      <c r="A372" t="s">
        <v>902</v>
      </c>
      <c r="B372" s="8" t="str">
        <f t="shared" si="5"/>
        <v>SRV002.M4200BA002CURR_1.F_CV - 4200BA002   Corriente Fase A AD</v>
      </c>
      <c r="C372" t="s">
        <v>396</v>
      </c>
      <c r="D372">
        <v>371</v>
      </c>
      <c r="F372" s="6"/>
    </row>
    <row r="373" spans="1:6" x14ac:dyDescent="0.2">
      <c r="A373" t="s">
        <v>903</v>
      </c>
      <c r="B373" s="8" t="str">
        <f t="shared" si="5"/>
        <v>SRV002.M4200BA002CURR_2.F_CV - 4200BA002   Corriente Fase B AD</v>
      </c>
      <c r="C373" t="s">
        <v>397</v>
      </c>
      <c r="D373">
        <v>372</v>
      </c>
      <c r="F373" s="6"/>
    </row>
    <row r="374" spans="1:6" x14ac:dyDescent="0.2">
      <c r="A374" t="s">
        <v>904</v>
      </c>
      <c r="B374" s="8" t="str">
        <f t="shared" si="5"/>
        <v>SRV002.M4200BA002CURR_3.F_CV - 4200BA002   Corriente Fase C AD</v>
      </c>
      <c r="C374" t="s">
        <v>398</v>
      </c>
      <c r="D374">
        <v>373</v>
      </c>
      <c r="F374" s="6"/>
    </row>
    <row r="375" spans="1:6" x14ac:dyDescent="0.2">
      <c r="A375" t="s">
        <v>901</v>
      </c>
      <c r="B375" s="8" t="str">
        <f t="shared" si="5"/>
        <v>SRV002.M4200BA002CURR_0.F_CV - 4200BA002   Corriente Promedio AD</v>
      </c>
      <c r="C375" t="s">
        <v>395</v>
      </c>
      <c r="D375">
        <v>374</v>
      </c>
      <c r="F375" s="6"/>
    </row>
    <row r="376" spans="1:6" x14ac:dyDescent="0.2">
      <c r="A376" t="s">
        <v>905</v>
      </c>
      <c r="B376" s="8" t="str">
        <f t="shared" si="5"/>
        <v>SRV002.M4200BA002HRS.F_CV - 4200BA002   Horometro</v>
      </c>
      <c r="C376" t="s">
        <v>399</v>
      </c>
      <c r="D376">
        <v>375</v>
      </c>
      <c r="F376" s="6"/>
    </row>
    <row r="377" spans="1:6" x14ac:dyDescent="0.2">
      <c r="A377" t="s">
        <v>906</v>
      </c>
      <c r="B377" s="8" t="str">
        <f t="shared" si="5"/>
        <v>SRV002.M4200BA002POT_0.F_CV - 4200BA002   Potencia Activa</v>
      </c>
      <c r="C377" t="s">
        <v>400</v>
      </c>
      <c r="D377">
        <v>376</v>
      </c>
      <c r="F377" s="6"/>
    </row>
    <row r="378" spans="1:6" x14ac:dyDescent="0.2">
      <c r="A378" t="s">
        <v>907</v>
      </c>
      <c r="B378" s="8" t="str">
        <f t="shared" si="5"/>
        <v>SRV002.M4200BA002POT_1.F_CV - 4200BA002   Potencia Reactiva</v>
      </c>
      <c r="C378" t="s">
        <v>401</v>
      </c>
      <c r="D378">
        <v>377</v>
      </c>
      <c r="F378" s="6"/>
    </row>
    <row r="379" spans="1:6" x14ac:dyDescent="0.2">
      <c r="A379" t="s">
        <v>909</v>
      </c>
      <c r="B379" s="8" t="str">
        <f t="shared" si="5"/>
        <v>SRV002.M4200BA003CURR_1.F_CV - 4200BA003   Corriente Fase A AD</v>
      </c>
      <c r="C379" t="s">
        <v>403</v>
      </c>
      <c r="D379">
        <v>378</v>
      </c>
      <c r="F379" s="6"/>
    </row>
    <row r="380" spans="1:6" x14ac:dyDescent="0.2">
      <c r="A380" t="s">
        <v>910</v>
      </c>
      <c r="B380" s="8" t="str">
        <f t="shared" si="5"/>
        <v>SRV002.M4200BA003CURR_2.F_CV - 4200BA003   Corriente Fase B AD</v>
      </c>
      <c r="C380" t="s">
        <v>404</v>
      </c>
      <c r="D380">
        <v>379</v>
      </c>
      <c r="F380" s="6"/>
    </row>
    <row r="381" spans="1:6" x14ac:dyDescent="0.2">
      <c r="A381" t="s">
        <v>911</v>
      </c>
      <c r="B381" s="8" t="str">
        <f t="shared" si="5"/>
        <v>SRV002.M4200BA003CURR_3.F_CV - 4200BA003   Corriente Fase C AD</v>
      </c>
      <c r="C381" t="s">
        <v>405</v>
      </c>
      <c r="D381">
        <v>380</v>
      </c>
      <c r="F381" s="6"/>
    </row>
    <row r="382" spans="1:6" x14ac:dyDescent="0.2">
      <c r="A382" t="s">
        <v>908</v>
      </c>
      <c r="B382" s="8" t="str">
        <f t="shared" si="5"/>
        <v>SRV002.M4200BA003CURR_0.F_CV - 4200BA003   Corriente Promedio AD</v>
      </c>
      <c r="C382" t="s">
        <v>402</v>
      </c>
      <c r="D382">
        <v>381</v>
      </c>
      <c r="F382" s="6"/>
    </row>
    <row r="383" spans="1:6" x14ac:dyDescent="0.2">
      <c r="A383" t="s">
        <v>912</v>
      </c>
      <c r="B383" s="8" t="str">
        <f t="shared" si="5"/>
        <v>SRV002.M4200BA003HRS.F_CV - 4200BA003   Horometro</v>
      </c>
      <c r="C383" t="s">
        <v>406</v>
      </c>
      <c r="D383">
        <v>382</v>
      </c>
      <c r="F383" s="6"/>
    </row>
    <row r="384" spans="1:6" x14ac:dyDescent="0.2">
      <c r="A384" t="s">
        <v>914</v>
      </c>
      <c r="B384" s="8" t="str">
        <f t="shared" si="5"/>
        <v>SRV002.M4200BA004CURR_1.F_CV - 4200BA004   Corriente Fase A AD</v>
      </c>
      <c r="C384" t="s">
        <v>408</v>
      </c>
      <c r="D384">
        <v>383</v>
      </c>
      <c r="F384" s="6"/>
    </row>
    <row r="385" spans="1:6" x14ac:dyDescent="0.2">
      <c r="A385" t="s">
        <v>915</v>
      </c>
      <c r="B385" s="8" t="str">
        <f t="shared" si="5"/>
        <v>SRV002.M4200BA004CURR_2.F_CV - 4200BA004   Corriente Fase B AD</v>
      </c>
      <c r="C385" t="s">
        <v>409</v>
      </c>
      <c r="D385">
        <v>384</v>
      </c>
      <c r="F385" s="6"/>
    </row>
    <row r="386" spans="1:6" x14ac:dyDescent="0.2">
      <c r="A386" t="s">
        <v>916</v>
      </c>
      <c r="B386" s="8" t="str">
        <f t="shared" si="5"/>
        <v>SRV002.M4200BA004CURR_3.F_CV - 4200BA004   Corriente Fase C AD</v>
      </c>
      <c r="C386" t="s">
        <v>410</v>
      </c>
      <c r="D386">
        <v>385</v>
      </c>
      <c r="F386" s="6"/>
    </row>
    <row r="387" spans="1:6" x14ac:dyDescent="0.2">
      <c r="A387" t="s">
        <v>913</v>
      </c>
      <c r="B387" s="8" t="str">
        <f t="shared" ref="B387:B450" si="6">C387&amp;" - "&amp;A387</f>
        <v>SRV002.M4200BA004CURR_0.F_CV - 4200BA004   Corriente Promedio AD</v>
      </c>
      <c r="C387" t="s">
        <v>407</v>
      </c>
      <c r="D387">
        <v>386</v>
      </c>
      <c r="F387" s="6"/>
    </row>
    <row r="388" spans="1:6" x14ac:dyDescent="0.2">
      <c r="A388" t="s">
        <v>917</v>
      </c>
      <c r="B388" s="8" t="str">
        <f t="shared" si="6"/>
        <v>SRV002.M4200BA004HRS.F_CV - 4200BA004   Horometro</v>
      </c>
      <c r="C388" t="s">
        <v>411</v>
      </c>
      <c r="D388">
        <v>387</v>
      </c>
      <c r="F388" s="6"/>
    </row>
    <row r="389" spans="1:6" x14ac:dyDescent="0.2">
      <c r="A389" t="s">
        <v>919</v>
      </c>
      <c r="B389" s="8" t="str">
        <f t="shared" si="6"/>
        <v>SRV002.M4200BS001CURR_1.F_CV - 4200BS001   Corriente Fase A AD</v>
      </c>
      <c r="C389" t="s">
        <v>413</v>
      </c>
      <c r="D389">
        <v>388</v>
      </c>
      <c r="F389" s="6"/>
    </row>
    <row r="390" spans="1:6" x14ac:dyDescent="0.2">
      <c r="A390" t="s">
        <v>920</v>
      </c>
      <c r="B390" s="8" t="str">
        <f t="shared" si="6"/>
        <v>SRV002.M4200BS001CURR_2.F_CV - 4200BS001   Corriente Fase B AD</v>
      </c>
      <c r="C390" t="s">
        <v>414</v>
      </c>
      <c r="D390">
        <v>389</v>
      </c>
      <c r="F390" s="6"/>
    </row>
    <row r="391" spans="1:6" x14ac:dyDescent="0.2">
      <c r="A391" t="s">
        <v>921</v>
      </c>
      <c r="B391" s="8" t="str">
        <f t="shared" si="6"/>
        <v>SRV002.M4200BS001CURR_3.F_CV - 4200BS001   Corriente Fase C AD</v>
      </c>
      <c r="C391" t="s">
        <v>415</v>
      </c>
      <c r="D391">
        <v>390</v>
      </c>
      <c r="F391" s="6"/>
    </row>
    <row r="392" spans="1:6" x14ac:dyDescent="0.2">
      <c r="A392" t="s">
        <v>918</v>
      </c>
      <c r="B392" s="8" t="str">
        <f t="shared" si="6"/>
        <v>SRV002.M4200BS001CURR_0.F_CV - 4200BS001   Corriente Promedio AD</v>
      </c>
      <c r="C392" t="s">
        <v>412</v>
      </c>
      <c r="D392">
        <v>391</v>
      </c>
      <c r="F392" s="6"/>
    </row>
    <row r="393" spans="1:6" x14ac:dyDescent="0.2">
      <c r="A393" t="s">
        <v>922</v>
      </c>
      <c r="B393" s="8" t="str">
        <f t="shared" si="6"/>
        <v>SRV002.M4200BS001HRS.F_CV - 4200BS001   Horometro</v>
      </c>
      <c r="C393" t="s">
        <v>416</v>
      </c>
      <c r="D393">
        <v>392</v>
      </c>
      <c r="F393" s="6"/>
    </row>
    <row r="394" spans="1:6" x14ac:dyDescent="0.2">
      <c r="A394" t="s">
        <v>923</v>
      </c>
      <c r="B394" s="8" t="str">
        <f t="shared" si="6"/>
        <v>SRV002.M4200BS001POT_0.F_CV - 4200BS001   Potencia Activa</v>
      </c>
      <c r="C394" t="s">
        <v>417</v>
      </c>
      <c r="D394">
        <v>393</v>
      </c>
      <c r="F394" s="6"/>
    </row>
    <row r="395" spans="1:6" x14ac:dyDescent="0.2">
      <c r="A395" t="s">
        <v>924</v>
      </c>
      <c r="B395" s="8" t="str">
        <f t="shared" si="6"/>
        <v>SRV002.M4200BS001POT_1.F_CV - 4200BS001   Potencia Reactiva</v>
      </c>
      <c r="C395" t="s">
        <v>418</v>
      </c>
      <c r="D395">
        <v>394</v>
      </c>
      <c r="F395" s="6"/>
    </row>
    <row r="396" spans="1:6" x14ac:dyDescent="0.2">
      <c r="A396" t="s">
        <v>926</v>
      </c>
      <c r="B396" s="8" t="str">
        <f t="shared" si="6"/>
        <v>SRV002.M4200BS002CURR_1.F_CV - 4200BS002   Corriente Fase A AD</v>
      </c>
      <c r="C396" t="s">
        <v>420</v>
      </c>
      <c r="D396">
        <v>395</v>
      </c>
      <c r="F396" s="6"/>
    </row>
    <row r="397" spans="1:6" x14ac:dyDescent="0.2">
      <c r="A397" t="s">
        <v>927</v>
      </c>
      <c r="B397" s="8" t="str">
        <f t="shared" si="6"/>
        <v>SRV002.M4200BS002CURR_2.F_CV - 4200BS002   Corriente Fase B AD</v>
      </c>
      <c r="C397" t="s">
        <v>421</v>
      </c>
      <c r="D397">
        <v>396</v>
      </c>
      <c r="F397" s="6"/>
    </row>
    <row r="398" spans="1:6" x14ac:dyDescent="0.2">
      <c r="A398" t="s">
        <v>928</v>
      </c>
      <c r="B398" s="8" t="str">
        <f t="shared" si="6"/>
        <v>SRV002.M4200BS002CURR_3.F_CV - 4200BS002   Corriente Fase C AD</v>
      </c>
      <c r="C398" t="s">
        <v>422</v>
      </c>
      <c r="D398">
        <v>397</v>
      </c>
      <c r="F398" s="6"/>
    </row>
    <row r="399" spans="1:6" x14ac:dyDescent="0.2">
      <c r="A399" t="s">
        <v>925</v>
      </c>
      <c r="B399" s="8" t="str">
        <f t="shared" si="6"/>
        <v>SRV002.M4200BS002CURR_0.F_CV - 4200BS002   Corriente Promedio AD</v>
      </c>
      <c r="C399" t="s">
        <v>419</v>
      </c>
      <c r="D399">
        <v>398</v>
      </c>
      <c r="F399" s="6"/>
    </row>
    <row r="400" spans="1:6" x14ac:dyDescent="0.2">
      <c r="A400" t="s">
        <v>929</v>
      </c>
      <c r="B400" s="8" t="str">
        <f t="shared" si="6"/>
        <v>SRV002.M4200BS002HRS.F_CV - 4200BS002   Horometro</v>
      </c>
      <c r="C400" t="s">
        <v>423</v>
      </c>
      <c r="D400">
        <v>399</v>
      </c>
      <c r="F400" s="6"/>
    </row>
    <row r="401" spans="1:6" x14ac:dyDescent="0.2">
      <c r="A401" t="s">
        <v>930</v>
      </c>
      <c r="B401" s="8" t="str">
        <f t="shared" si="6"/>
        <v>SRV002.M4200BS002POT_0.F_CV - 4200BS002   Potencia Activa</v>
      </c>
      <c r="C401" t="s">
        <v>424</v>
      </c>
      <c r="D401">
        <v>400</v>
      </c>
      <c r="F401" s="6"/>
    </row>
    <row r="402" spans="1:6" x14ac:dyDescent="0.2">
      <c r="A402" t="s">
        <v>931</v>
      </c>
      <c r="B402" s="8" t="str">
        <f t="shared" si="6"/>
        <v>SRV002.M4200BS002POT_1.F_CV - 4200BS002   Potencia Reactiva</v>
      </c>
      <c r="C402" t="s">
        <v>425</v>
      </c>
      <c r="D402">
        <v>401</v>
      </c>
      <c r="F402" s="6"/>
    </row>
    <row r="403" spans="1:6" x14ac:dyDescent="0.2">
      <c r="A403" t="s">
        <v>975</v>
      </c>
      <c r="B403" s="8" t="str">
        <f t="shared" si="6"/>
        <v>SRV002.PHACU_79.F_CV - 4200MC001   Corriente Fase A</v>
      </c>
      <c r="C403" t="s">
        <v>469</v>
      </c>
      <c r="D403">
        <v>402</v>
      </c>
      <c r="F403" s="6"/>
    </row>
    <row r="404" spans="1:6" x14ac:dyDescent="0.2">
      <c r="A404" t="s">
        <v>980</v>
      </c>
      <c r="B404" s="8" t="str">
        <f t="shared" si="6"/>
        <v>SRV002.PHBCU_79.F_CV - 4200MC001   Corriente Fase B</v>
      </c>
      <c r="C404" t="s">
        <v>474</v>
      </c>
      <c r="D404">
        <v>403</v>
      </c>
      <c r="F404" s="6"/>
    </row>
    <row r="405" spans="1:6" x14ac:dyDescent="0.2">
      <c r="A405" t="s">
        <v>985</v>
      </c>
      <c r="B405" s="8" t="str">
        <f t="shared" si="6"/>
        <v>SRV002.PHCCU_79.F_CV - 4200MC001   Corriente Fase C</v>
      </c>
      <c r="C405" t="s">
        <v>479</v>
      </c>
      <c r="D405">
        <v>404</v>
      </c>
      <c r="F405" s="6"/>
    </row>
    <row r="406" spans="1:6" x14ac:dyDescent="0.2">
      <c r="A406" t="s">
        <v>540</v>
      </c>
      <c r="B406" s="8" t="str">
        <f t="shared" si="6"/>
        <v>SRV002.ARGCU_79.F_CV - 4200MC001   Corriente Promedio</v>
      </c>
      <c r="C406" t="s">
        <v>34</v>
      </c>
      <c r="D406">
        <v>405</v>
      </c>
      <c r="F406" s="6"/>
    </row>
    <row r="407" spans="1:6" x14ac:dyDescent="0.2">
      <c r="A407" t="s">
        <v>995</v>
      </c>
      <c r="B407" s="8" t="str">
        <f t="shared" si="6"/>
        <v>SRV002.REAL_NEG_79.F_CV - 4200MC001   Energía Activa Negativa</v>
      </c>
      <c r="C407" t="s">
        <v>489</v>
      </c>
      <c r="D407">
        <v>406</v>
      </c>
      <c r="F407" s="6"/>
    </row>
    <row r="408" spans="1:6" x14ac:dyDescent="0.2">
      <c r="A408" t="s">
        <v>1000</v>
      </c>
      <c r="B408" s="8" t="str">
        <f t="shared" si="6"/>
        <v>SRV002.REAL_POS_79.F_CV - 4200MC001   Energía Activa Positiva</v>
      </c>
      <c r="C408" t="s">
        <v>494</v>
      </c>
      <c r="D408">
        <v>407</v>
      </c>
      <c r="F408" s="6"/>
    </row>
    <row r="409" spans="1:6" x14ac:dyDescent="0.2">
      <c r="A409" t="s">
        <v>550</v>
      </c>
      <c r="B409" s="8" t="str">
        <f t="shared" si="6"/>
        <v>SRV002.EREACTNEG_79.F_CV - 4200MC001   Energía Reactiva Negativa</v>
      </c>
      <c r="C409" t="s">
        <v>44</v>
      </c>
      <c r="D409">
        <v>408</v>
      </c>
      <c r="F409" s="6"/>
    </row>
    <row r="410" spans="1:6" x14ac:dyDescent="0.2">
      <c r="A410" t="s">
        <v>555</v>
      </c>
      <c r="B410" s="8" t="str">
        <f t="shared" si="6"/>
        <v>SRV002.EREACTPOS_79.F_CV - 4200MC001   Energía Reactiva Positiva</v>
      </c>
      <c r="C410" t="s">
        <v>49</v>
      </c>
      <c r="D410">
        <v>409</v>
      </c>
      <c r="F410" s="6"/>
    </row>
    <row r="411" spans="1:6" x14ac:dyDescent="0.2">
      <c r="A411" t="s">
        <v>970</v>
      </c>
      <c r="B411" s="8" t="str">
        <f t="shared" si="6"/>
        <v>SRV002.PH_PW_79.F_CV - 4200MC001   Factor de Potencia</v>
      </c>
      <c r="C411" t="s">
        <v>464</v>
      </c>
      <c r="D411">
        <v>410</v>
      </c>
      <c r="F411" s="6"/>
    </row>
    <row r="412" spans="1:6" x14ac:dyDescent="0.2">
      <c r="A412" t="s">
        <v>620</v>
      </c>
      <c r="B412" s="8" t="str">
        <f t="shared" si="6"/>
        <v>SRV002.FRH_79.F_CV - 4200MC001   Frecuencia</v>
      </c>
      <c r="C412" t="s">
        <v>114</v>
      </c>
      <c r="D412">
        <v>411</v>
      </c>
      <c r="F412" s="6"/>
    </row>
    <row r="413" spans="1:6" x14ac:dyDescent="0.2">
      <c r="A413" t="s">
        <v>1005</v>
      </c>
      <c r="B413" s="8" t="str">
        <f t="shared" si="6"/>
        <v>SRV002.REL_PH_79.F_CV - 4200MC001   Potencia Activa</v>
      </c>
      <c r="C413" t="s">
        <v>499</v>
      </c>
      <c r="D413">
        <v>412</v>
      </c>
      <c r="F413" s="6"/>
    </row>
    <row r="414" spans="1:6" x14ac:dyDescent="0.2">
      <c r="A414" t="s">
        <v>990</v>
      </c>
      <c r="B414" s="8" t="str">
        <f t="shared" si="6"/>
        <v>SRV002.REAC_PH_79.F_CV - 4200MC001   Potencia Reactiva</v>
      </c>
      <c r="C414" t="s">
        <v>484</v>
      </c>
      <c r="D414">
        <v>413</v>
      </c>
      <c r="F414" s="6"/>
    </row>
    <row r="415" spans="1:6" x14ac:dyDescent="0.2">
      <c r="A415" t="s">
        <v>1027</v>
      </c>
      <c r="B415" s="8" t="str">
        <f t="shared" si="6"/>
        <v>SRV002.VOLT_AB_79.F_CV - 4200MC001   Voltaje A-B</v>
      </c>
      <c r="C415" t="s">
        <v>521</v>
      </c>
      <c r="D415">
        <v>414</v>
      </c>
      <c r="F415" s="6"/>
    </row>
    <row r="416" spans="1:6" x14ac:dyDescent="0.2">
      <c r="A416" t="s">
        <v>1032</v>
      </c>
      <c r="B416" s="8" t="str">
        <f t="shared" si="6"/>
        <v>SRV002.VOLT_BC_79.F_CV - 4200MC001   Voltaje B-C</v>
      </c>
      <c r="C416" t="s">
        <v>526</v>
      </c>
      <c r="D416">
        <v>415</v>
      </c>
      <c r="F416" s="6"/>
    </row>
    <row r="417" spans="1:6" x14ac:dyDescent="0.2">
      <c r="A417" t="s">
        <v>1037</v>
      </c>
      <c r="B417" s="8" t="str">
        <f t="shared" si="6"/>
        <v>SRV002.VOLT_CA_79.F_CV - 4200MC001   Voltaje C-A</v>
      </c>
      <c r="C417" t="s">
        <v>531</v>
      </c>
      <c r="D417">
        <v>416</v>
      </c>
      <c r="F417" s="6"/>
    </row>
    <row r="418" spans="1:6" x14ac:dyDescent="0.2">
      <c r="A418" t="s">
        <v>545</v>
      </c>
      <c r="B418" s="8" t="str">
        <f t="shared" si="6"/>
        <v>SRV002.AVRLV_79.F_CV - 4200MC001   Voltaje Promedio</v>
      </c>
      <c r="C418" t="s">
        <v>39</v>
      </c>
      <c r="D418">
        <v>417</v>
      </c>
      <c r="F418" s="6"/>
    </row>
    <row r="419" spans="1:6" x14ac:dyDescent="0.2">
      <c r="A419" t="s">
        <v>933</v>
      </c>
      <c r="B419" s="8" t="str">
        <f t="shared" si="6"/>
        <v>SRV002.M4400BA001CURR_1.F_CV - 4400BA001   Corriente Fase A AD</v>
      </c>
      <c r="C419" t="s">
        <v>427</v>
      </c>
      <c r="D419">
        <v>418</v>
      </c>
      <c r="F419" s="6"/>
    </row>
    <row r="420" spans="1:6" x14ac:dyDescent="0.2">
      <c r="A420" t="s">
        <v>934</v>
      </c>
      <c r="B420" s="8" t="str">
        <f t="shared" si="6"/>
        <v>SRV002.M4400BA001CURR_2.F_CV - 4400BA001   Corriente Fase B AD</v>
      </c>
      <c r="C420" t="s">
        <v>428</v>
      </c>
      <c r="D420">
        <v>419</v>
      </c>
      <c r="F420" s="6"/>
    </row>
    <row r="421" spans="1:6" x14ac:dyDescent="0.2">
      <c r="A421" t="s">
        <v>935</v>
      </c>
      <c r="B421" s="8" t="str">
        <f t="shared" si="6"/>
        <v>SRV002.M4400BA001CURR_3.F_CV - 4400BA001   Corriente Fase C AD</v>
      </c>
      <c r="C421" t="s">
        <v>429</v>
      </c>
      <c r="D421">
        <v>420</v>
      </c>
      <c r="F421" s="6"/>
    </row>
    <row r="422" spans="1:6" x14ac:dyDescent="0.2">
      <c r="A422" t="s">
        <v>932</v>
      </c>
      <c r="B422" s="8" t="str">
        <f t="shared" si="6"/>
        <v>SRV002.M4400BA001CURR_0.F_CV - 4400BA001   Corriente Promedio AD</v>
      </c>
      <c r="C422" t="s">
        <v>426</v>
      </c>
      <c r="D422">
        <v>421</v>
      </c>
      <c r="F422" s="6"/>
    </row>
    <row r="423" spans="1:6" x14ac:dyDescent="0.2">
      <c r="A423" t="s">
        <v>936</v>
      </c>
      <c r="B423" s="8" t="str">
        <f t="shared" si="6"/>
        <v>SRV002.M4400BA001CURR_4.F_CV - 4400BA001   Desbalance de Corriente</v>
      </c>
      <c r="C423" t="s">
        <v>430</v>
      </c>
      <c r="D423">
        <v>422</v>
      </c>
      <c r="F423" s="6"/>
    </row>
    <row r="424" spans="1:6" x14ac:dyDescent="0.2">
      <c r="A424" t="s">
        <v>937</v>
      </c>
      <c r="B424" s="8" t="str">
        <f t="shared" si="6"/>
        <v>SRV002.M4400BA001HRS.F_CV - 4400BA001   Horometro</v>
      </c>
      <c r="C424" t="s">
        <v>431</v>
      </c>
      <c r="D424">
        <v>423</v>
      </c>
      <c r="F424" s="6"/>
    </row>
    <row r="425" spans="1:6" x14ac:dyDescent="0.2">
      <c r="A425" t="s">
        <v>939</v>
      </c>
      <c r="B425" s="8" t="str">
        <f t="shared" si="6"/>
        <v>SRV002.M4400BA002CURR_1.F_CV - 4400BA002   Corriente Fase A AD</v>
      </c>
      <c r="C425" t="s">
        <v>433</v>
      </c>
      <c r="D425">
        <v>424</v>
      </c>
      <c r="F425" s="6"/>
    </row>
    <row r="426" spans="1:6" x14ac:dyDescent="0.2">
      <c r="A426" t="s">
        <v>940</v>
      </c>
      <c r="B426" s="8" t="str">
        <f t="shared" si="6"/>
        <v>SRV002.M4400BA002CURR_2.F_CV - 4400BA002   Corriente Fase B AD</v>
      </c>
      <c r="C426" t="s">
        <v>434</v>
      </c>
      <c r="D426">
        <v>425</v>
      </c>
      <c r="F426" s="6"/>
    </row>
    <row r="427" spans="1:6" x14ac:dyDescent="0.2">
      <c r="A427" t="s">
        <v>941</v>
      </c>
      <c r="B427" s="8" t="str">
        <f t="shared" si="6"/>
        <v>SRV002.M4400BA002CURR_3.F_CV - 4400BA002   Corriente Fase C AD</v>
      </c>
      <c r="C427" t="s">
        <v>435</v>
      </c>
      <c r="D427">
        <v>426</v>
      </c>
      <c r="F427" s="6"/>
    </row>
    <row r="428" spans="1:6" x14ac:dyDescent="0.2">
      <c r="A428" t="s">
        <v>938</v>
      </c>
      <c r="B428" s="8" t="str">
        <f t="shared" si="6"/>
        <v>SRV002.M4400BA002CURR_0.F_CV - 4400BA002   Corriente Promedio AD</v>
      </c>
      <c r="C428" t="s">
        <v>432</v>
      </c>
      <c r="D428">
        <v>427</v>
      </c>
      <c r="F428" s="6"/>
    </row>
    <row r="429" spans="1:6" x14ac:dyDescent="0.2">
      <c r="A429" t="s">
        <v>942</v>
      </c>
      <c r="B429" s="8" t="str">
        <f t="shared" si="6"/>
        <v>SRV002.M4400BA002CURR_4.F_CV - 4400BA002   Desbalance de Corriente</v>
      </c>
      <c r="C429" t="s">
        <v>436</v>
      </c>
      <c r="D429">
        <v>428</v>
      </c>
      <c r="F429" s="6"/>
    </row>
    <row r="430" spans="1:6" x14ac:dyDescent="0.2">
      <c r="A430" t="s">
        <v>943</v>
      </c>
      <c r="B430" s="8" t="str">
        <f t="shared" si="6"/>
        <v>SRV002.M4400BA002HRS.F_CV - 4400BA002   Horometro</v>
      </c>
      <c r="C430" t="s">
        <v>437</v>
      </c>
      <c r="D430">
        <v>429</v>
      </c>
      <c r="F430" s="6"/>
    </row>
    <row r="431" spans="1:6" x14ac:dyDescent="0.2">
      <c r="A431" t="s">
        <v>945</v>
      </c>
      <c r="B431" s="8" t="str">
        <f t="shared" si="6"/>
        <v>SRV002.M4400BS001CURR_1.F_CV - 4400BS001   Corriente Fase A AD</v>
      </c>
      <c r="C431" t="s">
        <v>439</v>
      </c>
      <c r="D431">
        <v>430</v>
      </c>
      <c r="F431" s="6"/>
    </row>
    <row r="432" spans="1:6" x14ac:dyDescent="0.2">
      <c r="A432" t="s">
        <v>946</v>
      </c>
      <c r="B432" s="8" t="str">
        <f t="shared" si="6"/>
        <v>SRV002.M4400BS001CURR_2.F_CV - 4400BS001   Corriente Fase B AD</v>
      </c>
      <c r="C432" t="s">
        <v>440</v>
      </c>
      <c r="D432">
        <v>431</v>
      </c>
      <c r="F432" s="6"/>
    </row>
    <row r="433" spans="1:6" x14ac:dyDescent="0.2">
      <c r="A433" t="s">
        <v>947</v>
      </c>
      <c r="B433" s="8" t="str">
        <f t="shared" si="6"/>
        <v>SRV002.M4400BS001CURR_3.F_CV - 4400BS001   Corriente Fase C AD</v>
      </c>
      <c r="C433" t="s">
        <v>441</v>
      </c>
      <c r="D433">
        <v>432</v>
      </c>
      <c r="F433" s="6"/>
    </row>
    <row r="434" spans="1:6" x14ac:dyDescent="0.2">
      <c r="A434" t="s">
        <v>944</v>
      </c>
      <c r="B434" s="8" t="str">
        <f t="shared" si="6"/>
        <v>SRV002.M4400BS001CURR_0.F_CV - 4400BS001   Corriente Promedio AD</v>
      </c>
      <c r="C434" t="s">
        <v>438</v>
      </c>
      <c r="D434">
        <v>433</v>
      </c>
      <c r="F434" s="6"/>
    </row>
    <row r="435" spans="1:6" x14ac:dyDescent="0.2">
      <c r="A435" t="s">
        <v>948</v>
      </c>
      <c r="B435" s="8" t="str">
        <f t="shared" si="6"/>
        <v>SRV002.M4400BS001CURR_4.F_CV - 4400BS001   Desbalance de Corriente</v>
      </c>
      <c r="C435" t="s">
        <v>442</v>
      </c>
      <c r="D435">
        <v>434</v>
      </c>
      <c r="F435" s="6"/>
    </row>
    <row r="436" spans="1:6" x14ac:dyDescent="0.2">
      <c r="A436" t="s">
        <v>949</v>
      </c>
      <c r="B436" s="8" t="str">
        <f t="shared" si="6"/>
        <v>SRV002.M4400BS001HRS.F_CV - 4400BS001   Horometro</v>
      </c>
      <c r="C436" t="s">
        <v>443</v>
      </c>
      <c r="D436">
        <v>435</v>
      </c>
      <c r="F436" s="6"/>
    </row>
    <row r="437" spans="1:6" x14ac:dyDescent="0.2">
      <c r="A437" t="s">
        <v>951</v>
      </c>
      <c r="B437" s="8" t="str">
        <f t="shared" si="6"/>
        <v>SRV002.M4400BS002CURR_1.F_CV - 4400BS002   Corriente Fase A AD</v>
      </c>
      <c r="C437" t="s">
        <v>445</v>
      </c>
      <c r="D437">
        <v>436</v>
      </c>
      <c r="F437" s="6"/>
    </row>
    <row r="438" spans="1:6" x14ac:dyDescent="0.2">
      <c r="A438" t="s">
        <v>952</v>
      </c>
      <c r="B438" s="8" t="str">
        <f t="shared" si="6"/>
        <v>SRV002.M4400BS002CURR_2.F_CV - 4400BS002   Corriente Fase B AD</v>
      </c>
      <c r="C438" t="s">
        <v>446</v>
      </c>
      <c r="D438">
        <v>437</v>
      </c>
      <c r="F438" s="6"/>
    </row>
    <row r="439" spans="1:6" x14ac:dyDescent="0.2">
      <c r="A439" t="s">
        <v>953</v>
      </c>
      <c r="B439" s="8" t="str">
        <f t="shared" si="6"/>
        <v>SRV002.M4400BS002CURR_3.F_CV - 4400BS002   Corriente Fase C AD</v>
      </c>
      <c r="C439" t="s">
        <v>447</v>
      </c>
      <c r="D439">
        <v>438</v>
      </c>
      <c r="F439" s="6"/>
    </row>
    <row r="440" spans="1:6" x14ac:dyDescent="0.2">
      <c r="A440" t="s">
        <v>950</v>
      </c>
      <c r="B440" s="8" t="str">
        <f t="shared" si="6"/>
        <v>SRV002.M4400BS002CURR_0.F_CV - 4400BS002   Corriente Promedio AD</v>
      </c>
      <c r="C440" t="s">
        <v>444</v>
      </c>
      <c r="D440">
        <v>439</v>
      </c>
      <c r="F440" s="6"/>
    </row>
    <row r="441" spans="1:6" x14ac:dyDescent="0.2">
      <c r="A441" t="s">
        <v>954</v>
      </c>
      <c r="B441" s="8" t="str">
        <f t="shared" si="6"/>
        <v>SRV002.M4400BS002HRS.F_CV - 4400BS002   Horometro</v>
      </c>
      <c r="C441" t="s">
        <v>448</v>
      </c>
      <c r="D441">
        <v>440</v>
      </c>
      <c r="F441" s="6"/>
    </row>
    <row r="442" spans="1:6" x14ac:dyDescent="0.2">
      <c r="A442" t="s">
        <v>956</v>
      </c>
      <c r="B442" s="8" t="str">
        <f t="shared" si="6"/>
        <v>SRV002.M4400ES001CURR_1.F_CV - 4400ES001   Corriente Fase A AD</v>
      </c>
      <c r="C442" t="s">
        <v>450</v>
      </c>
      <c r="D442">
        <v>441</v>
      </c>
      <c r="F442" s="6"/>
    </row>
    <row r="443" spans="1:6" x14ac:dyDescent="0.2">
      <c r="A443" t="s">
        <v>957</v>
      </c>
      <c r="B443" s="8" t="str">
        <f t="shared" si="6"/>
        <v>SRV002.M4400ES001CURR_2.F_CV - 4400ES001   Corriente Fase B AD</v>
      </c>
      <c r="C443" t="s">
        <v>451</v>
      </c>
      <c r="D443">
        <v>442</v>
      </c>
      <c r="F443" s="6"/>
    </row>
    <row r="444" spans="1:6" x14ac:dyDescent="0.2">
      <c r="A444" t="s">
        <v>958</v>
      </c>
      <c r="B444" s="8" t="str">
        <f t="shared" si="6"/>
        <v>SRV002.M4400ES001CURR_3.F_CV - 4400ES001   Corriente Fase C AD</v>
      </c>
      <c r="C444" t="s">
        <v>452</v>
      </c>
      <c r="D444">
        <v>443</v>
      </c>
      <c r="F444" s="6"/>
    </row>
    <row r="445" spans="1:6" x14ac:dyDescent="0.2">
      <c r="A445" t="s">
        <v>955</v>
      </c>
      <c r="B445" s="8" t="str">
        <f t="shared" si="6"/>
        <v>SRV002.M4400ES001CURR_0.F_CV - 4400ES001   Corriente Promedio AD</v>
      </c>
      <c r="C445" t="s">
        <v>449</v>
      </c>
      <c r="D445">
        <v>444</v>
      </c>
      <c r="F445" s="6"/>
    </row>
    <row r="446" spans="1:6" x14ac:dyDescent="0.2">
      <c r="A446" t="s">
        <v>959</v>
      </c>
      <c r="B446" s="8" t="str">
        <f t="shared" si="6"/>
        <v>SRV002.M4400ES001CURR_4.F_CV - 4400ES001   Desbalance de Corriente</v>
      </c>
      <c r="C446" t="s">
        <v>453</v>
      </c>
      <c r="D446">
        <v>445</v>
      </c>
      <c r="F446" s="6"/>
    </row>
    <row r="447" spans="1:6" x14ac:dyDescent="0.2">
      <c r="A447" t="s">
        <v>960</v>
      </c>
      <c r="B447" s="8" t="str">
        <f t="shared" si="6"/>
        <v>SRV002.M4400ES001HRS.F_CV - 4400ES001   Horometro</v>
      </c>
      <c r="C447" t="s">
        <v>454</v>
      </c>
      <c r="D447">
        <v>446</v>
      </c>
      <c r="F447" s="6"/>
    </row>
    <row r="448" spans="1:6" x14ac:dyDescent="0.2">
      <c r="A448" t="s">
        <v>962</v>
      </c>
      <c r="B448" s="8" t="str">
        <f t="shared" si="6"/>
        <v>SRV002.M4400ES002CURR_1.F_CV - 4400ES002   Corriente Fase A AD</v>
      </c>
      <c r="C448" t="s">
        <v>456</v>
      </c>
      <c r="D448">
        <v>447</v>
      </c>
      <c r="F448" s="6"/>
    </row>
    <row r="449" spans="1:6" x14ac:dyDescent="0.2">
      <c r="A449" t="s">
        <v>963</v>
      </c>
      <c r="B449" s="8" t="str">
        <f t="shared" si="6"/>
        <v>SRV002.M4400ES002CURR_2.F_CV - 4400ES002   Corriente Fase B AD</v>
      </c>
      <c r="C449" t="s">
        <v>457</v>
      </c>
      <c r="D449">
        <v>448</v>
      </c>
      <c r="F449" s="6"/>
    </row>
    <row r="450" spans="1:6" x14ac:dyDescent="0.2">
      <c r="A450" t="s">
        <v>964</v>
      </c>
      <c r="B450" s="8" t="str">
        <f t="shared" si="6"/>
        <v>SRV002.M4400ES002CURR_3.F_CV - 4400ES002   Corriente Fase C AD</v>
      </c>
      <c r="C450" t="s">
        <v>458</v>
      </c>
      <c r="D450">
        <v>449</v>
      </c>
      <c r="F450" s="6"/>
    </row>
    <row r="451" spans="1:6" x14ac:dyDescent="0.2">
      <c r="A451" t="s">
        <v>961</v>
      </c>
      <c r="B451" s="8" t="str">
        <f t="shared" ref="B451:B513" si="7">C451&amp;" - "&amp;A451</f>
        <v>SRV002.M4400ES002CURR_0.F_CV - 4400ES002   Corriente Promedio AD</v>
      </c>
      <c r="C451" t="s">
        <v>455</v>
      </c>
      <c r="D451">
        <v>450</v>
      </c>
      <c r="F451" s="6"/>
    </row>
    <row r="452" spans="1:6" x14ac:dyDescent="0.2">
      <c r="A452" t="s">
        <v>965</v>
      </c>
      <c r="B452" s="8" t="str">
        <f t="shared" si="7"/>
        <v>SRV002.M4400ES002CURR_4.F_CV - 4400ES002   Desbalance de Corriente</v>
      </c>
      <c r="C452" t="s">
        <v>459</v>
      </c>
      <c r="D452">
        <v>451</v>
      </c>
      <c r="F452" s="6"/>
    </row>
    <row r="453" spans="1:6" x14ac:dyDescent="0.2">
      <c r="A453" t="s">
        <v>966</v>
      </c>
      <c r="B453" s="8" t="str">
        <f t="shared" si="7"/>
        <v>SRV002.M4400ES002HRS.F_CV - 4400ES002   Horometro</v>
      </c>
      <c r="C453" t="s">
        <v>460</v>
      </c>
      <c r="D453">
        <v>452</v>
      </c>
      <c r="F453" s="6"/>
    </row>
    <row r="454" spans="1:6" x14ac:dyDescent="0.2">
      <c r="A454" t="s">
        <v>560</v>
      </c>
      <c r="B454" s="8" t="str">
        <f t="shared" si="7"/>
        <v>SRV002.F11_SPACR.F_CV - F11   Corriente Fase A</v>
      </c>
      <c r="C454" t="s">
        <v>54</v>
      </c>
      <c r="D454">
        <v>453</v>
      </c>
      <c r="F454" s="6"/>
    </row>
    <row r="455" spans="1:6" x14ac:dyDescent="0.2">
      <c r="A455" t="s">
        <v>561</v>
      </c>
      <c r="B455" s="8" t="str">
        <f t="shared" si="7"/>
        <v>SRV002.F11_SPBCR.F_CV - F11   Corriente Fase B</v>
      </c>
      <c r="C455" t="s">
        <v>55</v>
      </c>
      <c r="D455">
        <v>454</v>
      </c>
      <c r="F455" s="6"/>
    </row>
    <row r="456" spans="1:6" x14ac:dyDescent="0.2">
      <c r="A456" t="s">
        <v>564</v>
      </c>
      <c r="B456" s="8" t="str">
        <f t="shared" si="7"/>
        <v>SRV002.F11_SPCCR.F_CV - F11   Corriente Fase C</v>
      </c>
      <c r="C456" t="s">
        <v>58</v>
      </c>
      <c r="D456">
        <v>455</v>
      </c>
      <c r="F456" s="6"/>
    </row>
    <row r="457" spans="1:6" x14ac:dyDescent="0.2">
      <c r="A457" t="s">
        <v>558</v>
      </c>
      <c r="B457" s="8" t="str">
        <f t="shared" si="7"/>
        <v>SRV002.F11_SNCR.F_CV - F11   Corriente Promedio</v>
      </c>
      <c r="C457" t="s">
        <v>52</v>
      </c>
      <c r="D457">
        <v>456</v>
      </c>
      <c r="F457" s="6"/>
    </row>
    <row r="458" spans="1:6" x14ac:dyDescent="0.2">
      <c r="A458" t="s">
        <v>566</v>
      </c>
      <c r="B458" s="8" t="str">
        <f t="shared" si="7"/>
        <v>SRV002.F11_STPPF.F_CV - F11   Factor de Potencia</v>
      </c>
      <c r="C458" t="s">
        <v>60</v>
      </c>
      <c r="D458">
        <v>457</v>
      </c>
      <c r="F458" s="6"/>
    </row>
    <row r="459" spans="1:6" x14ac:dyDescent="0.2">
      <c r="A459" t="s">
        <v>568</v>
      </c>
      <c r="B459" s="8" t="str">
        <f t="shared" si="7"/>
        <v>SRV002.F11_STPRP1.F_CV - F11   Potencia Activa</v>
      </c>
      <c r="C459" t="s">
        <v>62</v>
      </c>
      <c r="D459">
        <v>458</v>
      </c>
      <c r="F459" s="6"/>
    </row>
    <row r="460" spans="1:6" x14ac:dyDescent="0.2">
      <c r="A460" t="s">
        <v>565</v>
      </c>
      <c r="B460" s="8" t="str">
        <f t="shared" si="7"/>
        <v>SRV002.F11_STPAP.F_CV - F11   Potencia Aparente</v>
      </c>
      <c r="C460" t="s">
        <v>59</v>
      </c>
      <c r="D460">
        <v>459</v>
      </c>
      <c r="F460" s="6"/>
    </row>
    <row r="461" spans="1:6" x14ac:dyDescent="0.2">
      <c r="A461" t="s">
        <v>567</v>
      </c>
      <c r="B461" s="8" t="str">
        <f t="shared" si="7"/>
        <v>SRV002.F11_STPRP.F_CV - F11   Potencia Reactiva</v>
      </c>
      <c r="C461" t="s">
        <v>61</v>
      </c>
      <c r="D461">
        <v>460</v>
      </c>
      <c r="F461" s="6"/>
    </row>
    <row r="462" spans="1:6" x14ac:dyDescent="0.2">
      <c r="A462" t="s">
        <v>557</v>
      </c>
      <c r="B462" s="8" t="str">
        <f t="shared" si="7"/>
        <v>SRV002.F11_BOP_CL.F_CV - F11   Status Abierto</v>
      </c>
      <c r="C462" t="s">
        <v>51</v>
      </c>
      <c r="D462">
        <v>461</v>
      </c>
      <c r="F462" s="6"/>
    </row>
    <row r="463" spans="1:6" x14ac:dyDescent="0.2">
      <c r="A463" t="s">
        <v>559</v>
      </c>
      <c r="B463" s="8" t="str">
        <f t="shared" si="7"/>
        <v>SRV002.F11_SPABVR.F_CV - F11   Voltaje A-B</v>
      </c>
      <c r="C463" t="s">
        <v>53</v>
      </c>
      <c r="D463">
        <v>462</v>
      </c>
      <c r="F463" s="6"/>
    </row>
    <row r="464" spans="1:6" x14ac:dyDescent="0.2">
      <c r="A464" t="s">
        <v>562</v>
      </c>
      <c r="B464" s="8" t="str">
        <f t="shared" si="7"/>
        <v>SRV002.F11_SPBCVR.F_CV - F11   Voltaje B-C</v>
      </c>
      <c r="C464" t="s">
        <v>56</v>
      </c>
      <c r="D464">
        <v>463</v>
      </c>
      <c r="F464" s="6"/>
    </row>
    <row r="465" spans="1:6" x14ac:dyDescent="0.2">
      <c r="A465" t="s">
        <v>563</v>
      </c>
      <c r="B465" s="8" t="str">
        <f t="shared" si="7"/>
        <v>SRV002.F11_SPCAVR.F_CV - F11   Voltaje C-A</v>
      </c>
      <c r="C465" t="s">
        <v>57</v>
      </c>
      <c r="D465">
        <v>464</v>
      </c>
      <c r="F465" s="6"/>
    </row>
    <row r="466" spans="1:6" x14ac:dyDescent="0.2">
      <c r="A466" t="s">
        <v>572</v>
      </c>
      <c r="B466" s="8" t="str">
        <f t="shared" si="7"/>
        <v>SRV002.F21_SPACR.F_CV - F21   Corriente Fase A</v>
      </c>
      <c r="C466" t="s">
        <v>66</v>
      </c>
      <c r="D466">
        <v>465</v>
      </c>
      <c r="F466" s="6"/>
    </row>
    <row r="467" spans="1:6" x14ac:dyDescent="0.2">
      <c r="A467" t="s">
        <v>573</v>
      </c>
      <c r="B467" s="8" t="str">
        <f t="shared" si="7"/>
        <v>SRV002.F21_SPBCR.F_CV - F21   Corriente Fase B</v>
      </c>
      <c r="C467" t="s">
        <v>67</v>
      </c>
      <c r="D467">
        <v>466</v>
      </c>
      <c r="F467" s="6"/>
    </row>
    <row r="468" spans="1:6" x14ac:dyDescent="0.2">
      <c r="A468" t="s">
        <v>576</v>
      </c>
      <c r="B468" s="8" t="str">
        <f t="shared" si="7"/>
        <v>SRV002.F21_SPCCR.F_CV - F21   Corriente Fase C</v>
      </c>
      <c r="C468" t="s">
        <v>70</v>
      </c>
      <c r="D468">
        <v>467</v>
      </c>
      <c r="F468" s="6"/>
    </row>
    <row r="469" spans="1:6" x14ac:dyDescent="0.2">
      <c r="A469" t="s">
        <v>570</v>
      </c>
      <c r="B469" s="8" t="str">
        <f t="shared" si="7"/>
        <v>SRV002.F21_SNCR.F_CV - F21   Corriente Promedio</v>
      </c>
      <c r="C469" t="s">
        <v>64</v>
      </c>
      <c r="D469">
        <v>468</v>
      </c>
      <c r="F469" s="6"/>
    </row>
    <row r="470" spans="1:6" x14ac:dyDescent="0.2">
      <c r="A470" t="s">
        <v>578</v>
      </c>
      <c r="B470" s="8" t="str">
        <f t="shared" si="7"/>
        <v>SRV002.F21_STPPF.F_CV - F21   Factor de Potencia</v>
      </c>
      <c r="C470" t="s">
        <v>72</v>
      </c>
      <c r="D470">
        <v>469</v>
      </c>
      <c r="F470" s="6"/>
    </row>
    <row r="471" spans="1:6" x14ac:dyDescent="0.2">
      <c r="A471" t="s">
        <v>580</v>
      </c>
      <c r="B471" s="8" t="str">
        <f t="shared" si="7"/>
        <v>SRV002.F21_STPRP1.F_CV - F21   Potencia Activa</v>
      </c>
      <c r="C471" t="s">
        <v>74</v>
      </c>
      <c r="D471">
        <v>470</v>
      </c>
      <c r="F471" s="6"/>
    </row>
    <row r="472" spans="1:6" x14ac:dyDescent="0.2">
      <c r="A472" t="s">
        <v>577</v>
      </c>
      <c r="B472" s="8" t="str">
        <f t="shared" si="7"/>
        <v>SRV002.F21_STPAP.F_CV - F21   Potencia Aparente</v>
      </c>
      <c r="C472" t="s">
        <v>71</v>
      </c>
      <c r="D472">
        <v>471</v>
      </c>
      <c r="F472" s="6"/>
    </row>
    <row r="473" spans="1:6" x14ac:dyDescent="0.2">
      <c r="A473" t="s">
        <v>579</v>
      </c>
      <c r="B473" s="8" t="str">
        <f t="shared" si="7"/>
        <v>SRV002.F21_STPRP.F_CV - F21   Potencia Reactiva</v>
      </c>
      <c r="C473" t="s">
        <v>73</v>
      </c>
      <c r="D473">
        <v>472</v>
      </c>
      <c r="F473" s="6"/>
    </row>
    <row r="474" spans="1:6" x14ac:dyDescent="0.2">
      <c r="A474" t="s">
        <v>569</v>
      </c>
      <c r="B474" s="8" t="str">
        <f t="shared" si="7"/>
        <v>SRV002.F21_BOP_CL.F_CV - F21   Status Abierto</v>
      </c>
      <c r="C474" t="s">
        <v>63</v>
      </c>
      <c r="D474">
        <v>473</v>
      </c>
      <c r="F474" s="6"/>
    </row>
    <row r="475" spans="1:6" x14ac:dyDescent="0.2">
      <c r="A475" t="s">
        <v>571</v>
      </c>
      <c r="B475" s="8" t="str">
        <f t="shared" si="7"/>
        <v>SRV002.F21_SPABVR.F_CV - F21   Voltaje A-B</v>
      </c>
      <c r="C475" t="s">
        <v>65</v>
      </c>
      <c r="D475">
        <v>474</v>
      </c>
      <c r="F475" s="6"/>
    </row>
    <row r="476" spans="1:6" x14ac:dyDescent="0.2">
      <c r="A476" t="s">
        <v>574</v>
      </c>
      <c r="B476" s="8" t="str">
        <f t="shared" si="7"/>
        <v>SRV002.F21_SPBCVR.F_CV - F21   Voltaje B-C</v>
      </c>
      <c r="C476" t="s">
        <v>68</v>
      </c>
      <c r="D476">
        <v>475</v>
      </c>
      <c r="F476" s="6"/>
    </row>
    <row r="477" spans="1:6" x14ac:dyDescent="0.2">
      <c r="A477" t="s">
        <v>575</v>
      </c>
      <c r="B477" s="8" t="str">
        <f t="shared" si="7"/>
        <v>SRV002.F21_SPCAVR.F_CV - F21   Voltaje C-A</v>
      </c>
      <c r="C477" t="s">
        <v>69</v>
      </c>
      <c r="D477">
        <v>476</v>
      </c>
      <c r="F477" s="6"/>
    </row>
    <row r="478" spans="1:6" x14ac:dyDescent="0.2">
      <c r="A478" t="s">
        <v>584</v>
      </c>
      <c r="B478" s="8" t="str">
        <f t="shared" si="7"/>
        <v>SRV002.F31_SPACR.F_CV - F31   Corriente Fase A</v>
      </c>
      <c r="C478" t="s">
        <v>78</v>
      </c>
      <c r="D478">
        <v>477</v>
      </c>
      <c r="F478" s="6"/>
    </row>
    <row r="479" spans="1:6" x14ac:dyDescent="0.2">
      <c r="A479" t="s">
        <v>585</v>
      </c>
      <c r="B479" s="8" t="str">
        <f t="shared" si="7"/>
        <v>SRV002.F31_SPBCR.F_CV - F31   Corriente Fase B</v>
      </c>
      <c r="C479" t="s">
        <v>79</v>
      </c>
      <c r="D479">
        <v>478</v>
      </c>
      <c r="F479" s="6"/>
    </row>
    <row r="480" spans="1:6" x14ac:dyDescent="0.2">
      <c r="A480" t="s">
        <v>588</v>
      </c>
      <c r="B480" s="8" t="str">
        <f t="shared" si="7"/>
        <v>SRV002.F31_SPCCR.F_CV - F31   Corriente Fase C</v>
      </c>
      <c r="C480" t="s">
        <v>82</v>
      </c>
      <c r="D480">
        <v>479</v>
      </c>
      <c r="F480" s="6"/>
    </row>
    <row r="481" spans="1:6" x14ac:dyDescent="0.2">
      <c r="A481" t="s">
        <v>582</v>
      </c>
      <c r="B481" s="8" t="str">
        <f t="shared" si="7"/>
        <v>SRV002.F31_SNCR.F_CV - F31   Corriente Promedio</v>
      </c>
      <c r="C481" t="s">
        <v>76</v>
      </c>
      <c r="D481">
        <v>480</v>
      </c>
      <c r="F481" s="6"/>
    </row>
    <row r="482" spans="1:6" x14ac:dyDescent="0.2">
      <c r="A482" t="s">
        <v>590</v>
      </c>
      <c r="B482" s="8" t="str">
        <f t="shared" si="7"/>
        <v>SRV002.F31_STPPF.F_CV - F31   Factor de Potencia</v>
      </c>
      <c r="C482" t="s">
        <v>84</v>
      </c>
      <c r="D482">
        <v>481</v>
      </c>
      <c r="F482" s="6"/>
    </row>
    <row r="483" spans="1:6" x14ac:dyDescent="0.2">
      <c r="A483" t="s">
        <v>592</v>
      </c>
      <c r="B483" s="8" t="str">
        <f t="shared" si="7"/>
        <v>SRV002.F31_STPRP1.F_CV - F31   Potencia Activa</v>
      </c>
      <c r="C483" t="s">
        <v>86</v>
      </c>
      <c r="D483">
        <v>482</v>
      </c>
      <c r="F483" s="6"/>
    </row>
    <row r="484" spans="1:6" x14ac:dyDescent="0.2">
      <c r="A484" t="s">
        <v>589</v>
      </c>
      <c r="B484" s="8" t="str">
        <f t="shared" si="7"/>
        <v>SRV002.F31_STPAP.F_CV - F31   Potencia Aparente</v>
      </c>
      <c r="C484" t="s">
        <v>83</v>
      </c>
      <c r="D484">
        <v>483</v>
      </c>
      <c r="F484" s="6"/>
    </row>
    <row r="485" spans="1:6" x14ac:dyDescent="0.2">
      <c r="A485" t="s">
        <v>591</v>
      </c>
      <c r="B485" s="8" t="str">
        <f t="shared" si="7"/>
        <v>SRV002.F31_STPRP.F_CV - F31   Potencia Reactiva</v>
      </c>
      <c r="C485" t="s">
        <v>85</v>
      </c>
      <c r="D485">
        <v>484</v>
      </c>
      <c r="F485" s="6"/>
    </row>
    <row r="486" spans="1:6" x14ac:dyDescent="0.2">
      <c r="A486" t="s">
        <v>581</v>
      </c>
      <c r="B486" s="8" t="str">
        <f t="shared" si="7"/>
        <v>SRV002.F31_BOP_CL.F_CV - F31   Status Abierto</v>
      </c>
      <c r="C486" t="s">
        <v>75</v>
      </c>
      <c r="D486">
        <v>485</v>
      </c>
      <c r="F486" s="6"/>
    </row>
    <row r="487" spans="1:6" x14ac:dyDescent="0.2">
      <c r="A487" t="s">
        <v>583</v>
      </c>
      <c r="B487" s="8" t="str">
        <f t="shared" si="7"/>
        <v>SRV002.F31_SPABVR.F_CV - F31   Voltaje A-B</v>
      </c>
      <c r="C487" t="s">
        <v>77</v>
      </c>
      <c r="D487">
        <v>486</v>
      </c>
      <c r="F487" s="6"/>
    </row>
    <row r="488" spans="1:6" x14ac:dyDescent="0.2">
      <c r="A488" t="s">
        <v>586</v>
      </c>
      <c r="B488" s="8" t="str">
        <f t="shared" si="7"/>
        <v>SRV002.F31_SPBCVR.F_CV - F31   Voltaje B-C</v>
      </c>
      <c r="C488" t="s">
        <v>80</v>
      </c>
      <c r="D488">
        <v>487</v>
      </c>
      <c r="F488" s="6"/>
    </row>
    <row r="489" spans="1:6" x14ac:dyDescent="0.2">
      <c r="A489" t="s">
        <v>587</v>
      </c>
      <c r="B489" s="8" t="str">
        <f t="shared" si="7"/>
        <v>SRV002.F31_SPCAVR.F_CV - F31   Voltaje C-A</v>
      </c>
      <c r="C489" t="s">
        <v>81</v>
      </c>
      <c r="D489">
        <v>488</v>
      </c>
      <c r="F489" s="6"/>
    </row>
    <row r="490" spans="1:6" x14ac:dyDescent="0.2">
      <c r="A490" t="s">
        <v>596</v>
      </c>
      <c r="B490" s="8" t="str">
        <f t="shared" si="7"/>
        <v>SRV002.F41_SPACR.F_CV - F41   Corriente Fase A</v>
      </c>
      <c r="C490" t="s">
        <v>90</v>
      </c>
      <c r="D490">
        <v>489</v>
      </c>
      <c r="F490" s="6"/>
    </row>
    <row r="491" spans="1:6" x14ac:dyDescent="0.2">
      <c r="A491" t="s">
        <v>597</v>
      </c>
      <c r="B491" s="8" t="str">
        <f t="shared" si="7"/>
        <v>SRV002.F41_SPBCR.F_CV - F41   Corriente Fase B</v>
      </c>
      <c r="C491" t="s">
        <v>91</v>
      </c>
      <c r="D491">
        <v>490</v>
      </c>
      <c r="F491" s="6"/>
    </row>
    <row r="492" spans="1:6" x14ac:dyDescent="0.2">
      <c r="A492" t="s">
        <v>600</v>
      </c>
      <c r="B492" s="8" t="str">
        <f t="shared" si="7"/>
        <v>SRV002.F41_SPCCR.F_CV - F41   Corriente Fase C</v>
      </c>
      <c r="C492" t="s">
        <v>94</v>
      </c>
      <c r="D492">
        <v>491</v>
      </c>
      <c r="F492" s="6"/>
    </row>
    <row r="493" spans="1:6" x14ac:dyDescent="0.2">
      <c r="A493" t="s">
        <v>594</v>
      </c>
      <c r="B493" s="8" t="str">
        <f t="shared" si="7"/>
        <v>SRV002.F41_SNCR.F_CV - F41   Corriente Promedio</v>
      </c>
      <c r="C493" t="s">
        <v>88</v>
      </c>
      <c r="D493">
        <v>492</v>
      </c>
      <c r="F493" s="6"/>
    </row>
    <row r="494" spans="1:6" x14ac:dyDescent="0.2">
      <c r="A494" t="s">
        <v>602</v>
      </c>
      <c r="B494" s="8" t="str">
        <f t="shared" si="7"/>
        <v>SRV002.F41_STPPF.F_CV - F41   Factor de Potencia</v>
      </c>
      <c r="C494" t="s">
        <v>96</v>
      </c>
      <c r="D494">
        <v>493</v>
      </c>
      <c r="F494" s="6"/>
    </row>
    <row r="495" spans="1:6" x14ac:dyDescent="0.2">
      <c r="A495" t="s">
        <v>604</v>
      </c>
      <c r="B495" s="8" t="str">
        <f t="shared" si="7"/>
        <v>SRV002.F41_STPRP1.F_CV - F41   Potencia Activa</v>
      </c>
      <c r="C495" t="s">
        <v>98</v>
      </c>
      <c r="D495">
        <v>494</v>
      </c>
      <c r="F495" s="6"/>
    </row>
    <row r="496" spans="1:6" x14ac:dyDescent="0.2">
      <c r="A496" t="s">
        <v>601</v>
      </c>
      <c r="B496" s="8" t="str">
        <f t="shared" si="7"/>
        <v>SRV002.F41_STPAP.F_CV - F41   Potencia Aparente</v>
      </c>
      <c r="C496" t="s">
        <v>95</v>
      </c>
      <c r="D496">
        <v>495</v>
      </c>
      <c r="F496" s="6"/>
    </row>
    <row r="497" spans="1:6" x14ac:dyDescent="0.2">
      <c r="A497" t="s">
        <v>603</v>
      </c>
      <c r="B497" s="8" t="str">
        <f t="shared" si="7"/>
        <v>SRV002.F41_STPRP.F_CV - F41   Potencia Reactiva</v>
      </c>
      <c r="C497" t="s">
        <v>97</v>
      </c>
      <c r="D497">
        <v>496</v>
      </c>
      <c r="F497" s="6"/>
    </row>
    <row r="498" spans="1:6" x14ac:dyDescent="0.2">
      <c r="A498" t="s">
        <v>593</v>
      </c>
      <c r="B498" s="8" t="str">
        <f t="shared" si="7"/>
        <v>SRV002.F41_BOP_CL.F_CV - F41   Status Abierto</v>
      </c>
      <c r="C498" t="s">
        <v>87</v>
      </c>
      <c r="D498">
        <v>497</v>
      </c>
      <c r="F498" s="6"/>
    </row>
    <row r="499" spans="1:6" x14ac:dyDescent="0.2">
      <c r="A499" t="s">
        <v>595</v>
      </c>
      <c r="B499" s="8" t="str">
        <f t="shared" si="7"/>
        <v>SRV002.F41_SPABVR.F_CV - F41   Voltaje A-B</v>
      </c>
      <c r="C499" t="s">
        <v>89</v>
      </c>
      <c r="D499">
        <v>498</v>
      </c>
      <c r="F499" s="6"/>
    </row>
    <row r="500" spans="1:6" x14ac:dyDescent="0.2">
      <c r="A500" t="s">
        <v>598</v>
      </c>
      <c r="B500" s="8" t="str">
        <f t="shared" si="7"/>
        <v>SRV002.F41_SPBCVR.F_CV - F41   Voltaje B-C</v>
      </c>
      <c r="C500" t="s">
        <v>92</v>
      </c>
      <c r="D500">
        <v>499</v>
      </c>
      <c r="F500" s="6"/>
    </row>
    <row r="501" spans="1:6" x14ac:dyDescent="0.2">
      <c r="A501" t="s">
        <v>599</v>
      </c>
      <c r="B501" s="8" t="str">
        <f t="shared" si="7"/>
        <v>SRV002.F41_SPCAVR.F_CV - F41   Voltaje C-A</v>
      </c>
      <c r="C501" t="s">
        <v>93</v>
      </c>
      <c r="D501">
        <v>500</v>
      </c>
      <c r="F501" s="6"/>
    </row>
    <row r="502" spans="1:6" x14ac:dyDescent="0.2">
      <c r="A502" t="s">
        <v>608</v>
      </c>
      <c r="B502" s="8" t="str">
        <f t="shared" si="7"/>
        <v>SRV002.FG1_SPACR.F_CV - FG1   Corriente Fase A</v>
      </c>
      <c r="C502" t="s">
        <v>102</v>
      </c>
      <c r="D502">
        <v>501</v>
      </c>
      <c r="F502" s="6"/>
    </row>
    <row r="503" spans="1:6" x14ac:dyDescent="0.2">
      <c r="A503" t="s">
        <v>609</v>
      </c>
      <c r="B503" s="8" t="str">
        <f t="shared" si="7"/>
        <v>SRV002.FG1_SPBCR.F_CV - FG1   Corriente Fase B</v>
      </c>
      <c r="C503" t="s">
        <v>103</v>
      </c>
      <c r="D503">
        <v>502</v>
      </c>
      <c r="F503" s="6"/>
    </row>
    <row r="504" spans="1:6" x14ac:dyDescent="0.2">
      <c r="A504" t="s">
        <v>612</v>
      </c>
      <c r="B504" s="8" t="str">
        <f t="shared" si="7"/>
        <v>SRV002.FG1_SPCCR.F_CV - FG1   Corriente Fase C</v>
      </c>
      <c r="C504" t="s">
        <v>106</v>
      </c>
      <c r="D504">
        <v>503</v>
      </c>
      <c r="F504" s="6"/>
    </row>
    <row r="505" spans="1:6" x14ac:dyDescent="0.2">
      <c r="A505" t="s">
        <v>606</v>
      </c>
      <c r="B505" s="8" t="str">
        <f t="shared" si="7"/>
        <v>SRV002.FG1_SNCR.F_CV - FG1   Corriente Promedio</v>
      </c>
      <c r="C505" t="s">
        <v>100</v>
      </c>
      <c r="D505">
        <v>504</v>
      </c>
      <c r="F505" s="6"/>
    </row>
    <row r="506" spans="1:6" x14ac:dyDescent="0.2">
      <c r="A506" t="s">
        <v>614</v>
      </c>
      <c r="B506" s="8" t="str">
        <f t="shared" si="7"/>
        <v>SRV002.FG1_STPPF.F_CV - FG1   Factor de Potencia</v>
      </c>
      <c r="C506" t="s">
        <v>108</v>
      </c>
      <c r="D506">
        <v>505</v>
      </c>
      <c r="F506" s="6"/>
    </row>
    <row r="507" spans="1:6" x14ac:dyDescent="0.2">
      <c r="A507" t="s">
        <v>616</v>
      </c>
      <c r="B507" s="8" t="str">
        <f t="shared" si="7"/>
        <v>SRV002.FG1_STPRP1.F_CV - FG1   Potencia Activa</v>
      </c>
      <c r="C507" t="s">
        <v>110</v>
      </c>
      <c r="D507">
        <v>506</v>
      </c>
      <c r="F507" s="6"/>
    </row>
    <row r="508" spans="1:6" x14ac:dyDescent="0.2">
      <c r="A508" t="s">
        <v>613</v>
      </c>
      <c r="B508" s="8" t="str">
        <f t="shared" si="7"/>
        <v>SRV002.FG1_STPAP.F_CV - FG1   Potencia Aparente</v>
      </c>
      <c r="C508" t="s">
        <v>107</v>
      </c>
      <c r="D508">
        <v>507</v>
      </c>
      <c r="F508" s="6"/>
    </row>
    <row r="509" spans="1:6" x14ac:dyDescent="0.2">
      <c r="A509" t="s">
        <v>615</v>
      </c>
      <c r="B509" s="8" t="str">
        <f t="shared" si="7"/>
        <v>SRV002.FG1_STPRP.F_CV - FG1   Potencia Reactiva</v>
      </c>
      <c r="C509" t="s">
        <v>109</v>
      </c>
      <c r="D509">
        <v>508</v>
      </c>
      <c r="F509" s="6"/>
    </row>
    <row r="510" spans="1:6" x14ac:dyDescent="0.2">
      <c r="A510" t="s">
        <v>605</v>
      </c>
      <c r="B510" s="8" t="str">
        <f t="shared" si="7"/>
        <v>SRV002.FG1_BOP_CL.F_CV - FG1   Status Abierto</v>
      </c>
      <c r="C510" t="s">
        <v>99</v>
      </c>
      <c r="D510">
        <v>509</v>
      </c>
      <c r="F510" s="6"/>
    </row>
    <row r="511" spans="1:6" x14ac:dyDescent="0.2">
      <c r="A511" t="s">
        <v>607</v>
      </c>
      <c r="B511" s="8" t="str">
        <f t="shared" si="7"/>
        <v>SRV002.FG1_SPABVR.F_CV - FG1   Voltaje A-B</v>
      </c>
      <c r="C511" t="s">
        <v>101</v>
      </c>
      <c r="D511">
        <v>510</v>
      </c>
      <c r="F511" s="6"/>
    </row>
    <row r="512" spans="1:6" x14ac:dyDescent="0.2">
      <c r="A512" t="s">
        <v>610</v>
      </c>
      <c r="B512" s="8" t="str">
        <f t="shared" si="7"/>
        <v>SRV002.FG1_SPBCVR.F_CV - FG1   Voltaje B-C</v>
      </c>
      <c r="C512" t="s">
        <v>104</v>
      </c>
      <c r="D512">
        <v>511</v>
      </c>
      <c r="F512" s="6"/>
    </row>
    <row r="513" spans="1:6" x14ac:dyDescent="0.2">
      <c r="A513" t="s">
        <v>611</v>
      </c>
      <c r="B513" s="8" t="str">
        <f t="shared" si="7"/>
        <v>SRV002.FG1_SPCAVR.F_CV - FG1   Voltaje C-A</v>
      </c>
      <c r="C513" t="s">
        <v>105</v>
      </c>
      <c r="D513">
        <v>512</v>
      </c>
      <c r="F513" s="6"/>
    </row>
    <row r="514" spans="1:6" x14ac:dyDescent="0.2">
      <c r="F514" s="6"/>
    </row>
    <row r="515" spans="1:6" x14ac:dyDescent="0.2">
      <c r="F515" s="6"/>
    </row>
    <row r="516" spans="1:6" x14ac:dyDescent="0.2">
      <c r="F516" s="6"/>
    </row>
    <row r="517" spans="1:6" x14ac:dyDescent="0.2">
      <c r="F517" s="6"/>
    </row>
    <row r="518" spans="1:6" x14ac:dyDescent="0.2">
      <c r="F518" s="6"/>
    </row>
    <row r="519" spans="1:6" x14ac:dyDescent="0.2">
      <c r="F519" s="6"/>
    </row>
    <row r="520" spans="1:6" x14ac:dyDescent="0.2">
      <c r="F520" s="6"/>
    </row>
    <row r="521" spans="1:6" x14ac:dyDescent="0.2">
      <c r="F521" s="6"/>
    </row>
    <row r="522" spans="1:6" x14ac:dyDescent="0.2">
      <c r="F522" s="6"/>
    </row>
    <row r="523" spans="1:6" x14ac:dyDescent="0.2">
      <c r="F523" s="6"/>
    </row>
    <row r="524" spans="1:6" x14ac:dyDescent="0.2">
      <c r="F524" s="6"/>
    </row>
    <row r="525" spans="1:6" x14ac:dyDescent="0.2">
      <c r="F525" s="6"/>
    </row>
    <row r="526" spans="1:6" x14ac:dyDescent="0.2">
      <c r="F526" s="6"/>
    </row>
    <row r="527" spans="1:6" x14ac:dyDescent="0.2">
      <c r="F527" s="6"/>
    </row>
    <row r="528" spans="1:6" x14ac:dyDescent="0.2">
      <c r="F528" s="6"/>
    </row>
    <row r="529" spans="6:6" x14ac:dyDescent="0.2">
      <c r="F529" s="6"/>
    </row>
    <row r="530" spans="6:6" x14ac:dyDescent="0.2">
      <c r="F530" s="6"/>
    </row>
    <row r="531" spans="6:6" x14ac:dyDescent="0.2">
      <c r="F531" s="6"/>
    </row>
    <row r="532" spans="6:6" x14ac:dyDescent="0.2">
      <c r="F532" s="6"/>
    </row>
    <row r="533" spans="6:6" x14ac:dyDescent="0.2">
      <c r="F533" s="6"/>
    </row>
    <row r="534" spans="6:6" x14ac:dyDescent="0.2">
      <c r="F534" s="6"/>
    </row>
    <row r="535" spans="6:6" x14ac:dyDescent="0.2">
      <c r="F535" s="6"/>
    </row>
    <row r="536" spans="6:6" x14ac:dyDescent="0.2">
      <c r="F536" s="6"/>
    </row>
    <row r="537" spans="6:6" x14ac:dyDescent="0.2">
      <c r="F537" s="6"/>
    </row>
    <row r="538" spans="6:6" x14ac:dyDescent="0.2">
      <c r="F538" s="6"/>
    </row>
    <row r="539" spans="6:6" x14ac:dyDescent="0.2">
      <c r="F539" s="6"/>
    </row>
    <row r="540" spans="6:6" x14ac:dyDescent="0.2">
      <c r="F540" s="6"/>
    </row>
    <row r="541" spans="6:6" x14ac:dyDescent="0.2">
      <c r="F541" s="6"/>
    </row>
    <row r="542" spans="6:6" x14ac:dyDescent="0.2">
      <c r="F542" s="6"/>
    </row>
    <row r="543" spans="6:6" x14ac:dyDescent="0.2">
      <c r="F543" s="6"/>
    </row>
    <row r="544" spans="6:6" x14ac:dyDescent="0.2">
      <c r="F544" s="6"/>
    </row>
    <row r="545" spans="6:6" x14ac:dyDescent="0.2">
      <c r="F545" s="6"/>
    </row>
    <row r="546" spans="6:6" x14ac:dyDescent="0.2">
      <c r="F546" s="6"/>
    </row>
    <row r="547" spans="6:6" x14ac:dyDescent="0.2">
      <c r="F547" s="6"/>
    </row>
    <row r="548" spans="6:6" x14ac:dyDescent="0.2">
      <c r="F548" s="6"/>
    </row>
    <row r="549" spans="6:6" x14ac:dyDescent="0.2">
      <c r="F549" s="6"/>
    </row>
    <row r="550" spans="6:6" x14ac:dyDescent="0.2">
      <c r="F550" s="6"/>
    </row>
    <row r="551" spans="6:6" x14ac:dyDescent="0.2">
      <c r="F551" s="6"/>
    </row>
    <row r="552" spans="6:6" x14ac:dyDescent="0.2">
      <c r="F552" s="6"/>
    </row>
    <row r="553" spans="6:6" x14ac:dyDescent="0.2">
      <c r="F553" s="6"/>
    </row>
    <row r="554" spans="6:6" x14ac:dyDescent="0.2">
      <c r="F554" s="6"/>
    </row>
    <row r="555" spans="6:6" x14ac:dyDescent="0.2">
      <c r="F555" s="6"/>
    </row>
    <row r="556" spans="6:6" x14ac:dyDescent="0.2">
      <c r="F556" s="6"/>
    </row>
    <row r="557" spans="6:6" x14ac:dyDescent="0.2">
      <c r="F557" s="6"/>
    </row>
    <row r="558" spans="6:6" x14ac:dyDescent="0.2">
      <c r="F558" s="6"/>
    </row>
    <row r="559" spans="6:6" x14ac:dyDescent="0.2">
      <c r="F559" s="6"/>
    </row>
    <row r="560" spans="6:6" x14ac:dyDescent="0.2">
      <c r="F560" s="6"/>
    </row>
    <row r="561" spans="6:6" x14ac:dyDescent="0.2">
      <c r="F561" s="6"/>
    </row>
    <row r="562" spans="6:6" x14ac:dyDescent="0.2">
      <c r="F562" s="6"/>
    </row>
    <row r="563" spans="6:6" x14ac:dyDescent="0.2">
      <c r="F563" s="6"/>
    </row>
    <row r="564" spans="6:6" x14ac:dyDescent="0.2">
      <c r="F564" s="6"/>
    </row>
    <row r="565" spans="6:6" x14ac:dyDescent="0.2">
      <c r="F565" s="6"/>
    </row>
    <row r="566" spans="6:6" x14ac:dyDescent="0.2">
      <c r="F566" s="6"/>
    </row>
    <row r="567" spans="6:6" x14ac:dyDescent="0.2">
      <c r="F567" s="6"/>
    </row>
    <row r="568" spans="6:6" x14ac:dyDescent="0.2">
      <c r="F568" s="6"/>
    </row>
    <row r="569" spans="6:6" x14ac:dyDescent="0.2">
      <c r="F569" s="6"/>
    </row>
    <row r="570" spans="6:6" x14ac:dyDescent="0.2">
      <c r="F570" s="6"/>
    </row>
    <row r="571" spans="6:6" x14ac:dyDescent="0.2">
      <c r="F571" s="6"/>
    </row>
    <row r="572" spans="6:6" x14ac:dyDescent="0.2">
      <c r="F572" s="6"/>
    </row>
    <row r="573" spans="6:6" x14ac:dyDescent="0.2">
      <c r="F573" s="6"/>
    </row>
    <row r="574" spans="6:6" x14ac:dyDescent="0.2">
      <c r="F574" s="6"/>
    </row>
    <row r="575" spans="6:6" x14ac:dyDescent="0.2">
      <c r="F575" s="6"/>
    </row>
    <row r="576" spans="6:6" x14ac:dyDescent="0.2">
      <c r="F576" s="6"/>
    </row>
    <row r="577" spans="6:6" x14ac:dyDescent="0.2">
      <c r="F577" s="6"/>
    </row>
    <row r="578" spans="6:6" x14ac:dyDescent="0.2">
      <c r="F578" s="6"/>
    </row>
    <row r="579" spans="6:6" x14ac:dyDescent="0.2">
      <c r="F579" s="6"/>
    </row>
    <row r="580" spans="6:6" x14ac:dyDescent="0.2">
      <c r="F580" s="6"/>
    </row>
    <row r="581" spans="6:6" x14ac:dyDescent="0.2">
      <c r="F581" s="6"/>
    </row>
    <row r="582" spans="6:6" x14ac:dyDescent="0.2">
      <c r="F582" s="6"/>
    </row>
    <row r="583" spans="6:6" x14ac:dyDescent="0.2">
      <c r="F583" s="6"/>
    </row>
    <row r="584" spans="6:6" x14ac:dyDescent="0.2">
      <c r="F584" s="6"/>
    </row>
    <row r="585" spans="6:6" x14ac:dyDescent="0.2">
      <c r="F585" s="6"/>
    </row>
    <row r="586" spans="6:6" x14ac:dyDescent="0.2">
      <c r="F586" s="6"/>
    </row>
    <row r="587" spans="6:6" x14ac:dyDescent="0.2">
      <c r="F587" s="6"/>
    </row>
    <row r="588" spans="6:6" x14ac:dyDescent="0.2">
      <c r="F588" s="6"/>
    </row>
    <row r="589" spans="6:6" x14ac:dyDescent="0.2">
      <c r="F589" s="6"/>
    </row>
    <row r="590" spans="6:6" x14ac:dyDescent="0.2">
      <c r="F590" s="6"/>
    </row>
    <row r="591" spans="6:6" x14ac:dyDescent="0.2">
      <c r="F591" s="6"/>
    </row>
    <row r="592" spans="6:6" x14ac:dyDescent="0.2">
      <c r="F592" s="6"/>
    </row>
    <row r="593" spans="6:6" x14ac:dyDescent="0.2">
      <c r="F593" s="6"/>
    </row>
    <row r="594" spans="6:6" x14ac:dyDescent="0.2">
      <c r="F594" s="6"/>
    </row>
    <row r="595" spans="6:6" x14ac:dyDescent="0.2">
      <c r="F595" s="6"/>
    </row>
    <row r="596" spans="6:6" x14ac:dyDescent="0.2">
      <c r="F596" s="6"/>
    </row>
    <row r="597" spans="6:6" x14ac:dyDescent="0.2">
      <c r="F597" s="6"/>
    </row>
    <row r="598" spans="6:6" x14ac:dyDescent="0.2">
      <c r="F598" s="6"/>
    </row>
    <row r="599" spans="6:6" x14ac:dyDescent="0.2">
      <c r="F599" s="6"/>
    </row>
    <row r="600" spans="6:6" x14ac:dyDescent="0.2">
      <c r="F600" s="6"/>
    </row>
    <row r="601" spans="6:6" x14ac:dyDescent="0.2">
      <c r="F601" s="6"/>
    </row>
    <row r="602" spans="6:6" x14ac:dyDescent="0.2">
      <c r="F602" s="6"/>
    </row>
    <row r="603" spans="6:6" x14ac:dyDescent="0.2">
      <c r="F603" s="6"/>
    </row>
    <row r="604" spans="6:6" x14ac:dyDescent="0.2">
      <c r="F604" s="6"/>
    </row>
    <row r="605" spans="6:6" x14ac:dyDescent="0.2">
      <c r="F605" s="6"/>
    </row>
    <row r="606" spans="6:6" x14ac:dyDescent="0.2">
      <c r="F606" s="6"/>
    </row>
    <row r="607" spans="6:6" x14ac:dyDescent="0.2">
      <c r="F607" s="6"/>
    </row>
    <row r="608" spans="6:6" x14ac:dyDescent="0.2">
      <c r="F608" s="6"/>
    </row>
    <row r="609" spans="6:6" x14ac:dyDescent="0.2">
      <c r="F609" s="6"/>
    </row>
    <row r="610" spans="6:6" x14ac:dyDescent="0.2">
      <c r="F610" s="6"/>
    </row>
    <row r="611" spans="6:6" x14ac:dyDescent="0.2">
      <c r="F611" s="6"/>
    </row>
    <row r="612" spans="6:6" x14ac:dyDescent="0.2">
      <c r="F612" s="6"/>
    </row>
    <row r="613" spans="6:6" x14ac:dyDescent="0.2">
      <c r="F613" s="6"/>
    </row>
    <row r="614" spans="6:6" x14ac:dyDescent="0.2">
      <c r="F614" s="6"/>
    </row>
    <row r="615" spans="6:6" x14ac:dyDescent="0.2">
      <c r="F615" s="6"/>
    </row>
    <row r="616" spans="6:6" x14ac:dyDescent="0.2">
      <c r="F616" s="6"/>
    </row>
    <row r="617" spans="6:6" x14ac:dyDescent="0.2">
      <c r="F617" s="6"/>
    </row>
    <row r="618" spans="6:6" x14ac:dyDescent="0.2">
      <c r="F618" s="6"/>
    </row>
    <row r="619" spans="6:6" x14ac:dyDescent="0.2">
      <c r="F619" s="6"/>
    </row>
    <row r="620" spans="6:6" x14ac:dyDescent="0.2">
      <c r="F620" s="6"/>
    </row>
    <row r="621" spans="6:6" x14ac:dyDescent="0.2">
      <c r="F621" s="6"/>
    </row>
    <row r="622" spans="6:6" x14ac:dyDescent="0.2">
      <c r="F622" s="6"/>
    </row>
    <row r="623" spans="6:6" x14ac:dyDescent="0.2">
      <c r="F623" s="6"/>
    </row>
    <row r="624" spans="6:6" x14ac:dyDescent="0.2">
      <c r="F624" s="6"/>
    </row>
    <row r="625" spans="6:6" x14ac:dyDescent="0.2">
      <c r="F625" s="6"/>
    </row>
    <row r="626" spans="6:6" x14ac:dyDescent="0.2">
      <c r="F626" s="6"/>
    </row>
    <row r="627" spans="6:6" x14ac:dyDescent="0.2">
      <c r="F627" s="6"/>
    </row>
    <row r="628" spans="6:6" x14ac:dyDescent="0.2">
      <c r="F628" s="6"/>
    </row>
    <row r="629" spans="6:6" x14ac:dyDescent="0.2">
      <c r="F629" s="6"/>
    </row>
    <row r="630" spans="6:6" x14ac:dyDescent="0.2">
      <c r="F630" s="6"/>
    </row>
    <row r="631" spans="6:6" x14ac:dyDescent="0.2">
      <c r="F631" s="6"/>
    </row>
    <row r="632" spans="6:6" x14ac:dyDescent="0.2">
      <c r="F632" s="6"/>
    </row>
    <row r="633" spans="6:6" x14ac:dyDescent="0.2">
      <c r="F633" s="6"/>
    </row>
    <row r="634" spans="6:6" x14ac:dyDescent="0.2">
      <c r="F634" s="6"/>
    </row>
    <row r="635" spans="6:6" x14ac:dyDescent="0.2">
      <c r="F635" s="6"/>
    </row>
    <row r="636" spans="6:6" x14ac:dyDescent="0.2">
      <c r="F636" s="6"/>
    </row>
    <row r="637" spans="6:6" x14ac:dyDescent="0.2">
      <c r="F637" s="6"/>
    </row>
    <row r="638" spans="6:6" x14ac:dyDescent="0.2">
      <c r="F638" s="6"/>
    </row>
    <row r="639" spans="6:6" x14ac:dyDescent="0.2">
      <c r="F639" s="6"/>
    </row>
    <row r="640" spans="6:6" x14ac:dyDescent="0.2">
      <c r="F640" s="6"/>
    </row>
    <row r="641" spans="6:6" x14ac:dyDescent="0.2">
      <c r="F641" s="6"/>
    </row>
    <row r="642" spans="6:6" x14ac:dyDescent="0.2">
      <c r="F642" s="6"/>
    </row>
    <row r="643" spans="6:6" x14ac:dyDescent="0.2">
      <c r="F643" s="6"/>
    </row>
    <row r="644" spans="6:6" x14ac:dyDescent="0.2">
      <c r="F644" s="6"/>
    </row>
    <row r="645" spans="6:6" x14ac:dyDescent="0.2">
      <c r="F645" s="6"/>
    </row>
    <row r="646" spans="6:6" x14ac:dyDescent="0.2">
      <c r="F646" s="6"/>
    </row>
    <row r="647" spans="6:6" x14ac:dyDescent="0.2">
      <c r="F647" s="6"/>
    </row>
    <row r="648" spans="6:6" x14ac:dyDescent="0.2">
      <c r="F648" s="6"/>
    </row>
    <row r="649" spans="6:6" x14ac:dyDescent="0.2">
      <c r="F649" s="6"/>
    </row>
    <row r="650" spans="6:6" x14ac:dyDescent="0.2">
      <c r="F650" s="6"/>
    </row>
    <row r="651" spans="6:6" x14ac:dyDescent="0.2">
      <c r="F651" s="6"/>
    </row>
    <row r="652" spans="6:6" x14ac:dyDescent="0.2">
      <c r="F652" s="6"/>
    </row>
    <row r="653" spans="6:6" x14ac:dyDescent="0.2">
      <c r="F653" s="6"/>
    </row>
    <row r="654" spans="6:6" x14ac:dyDescent="0.2">
      <c r="F654" s="6"/>
    </row>
    <row r="655" spans="6:6" x14ac:dyDescent="0.2">
      <c r="F655" s="6"/>
    </row>
    <row r="656" spans="6:6" x14ac:dyDescent="0.2">
      <c r="F656" s="6"/>
    </row>
    <row r="657" spans="6:6" x14ac:dyDescent="0.2">
      <c r="F657" s="6"/>
    </row>
    <row r="658" spans="6:6" x14ac:dyDescent="0.2">
      <c r="F658" s="6"/>
    </row>
    <row r="659" spans="6:6" x14ac:dyDescent="0.2">
      <c r="F659" s="6"/>
    </row>
    <row r="660" spans="6:6" x14ac:dyDescent="0.2">
      <c r="F660" s="6"/>
    </row>
    <row r="661" spans="6:6" x14ac:dyDescent="0.2">
      <c r="F661" s="6"/>
    </row>
    <row r="662" spans="6:6" x14ac:dyDescent="0.2">
      <c r="F662" s="6"/>
    </row>
    <row r="663" spans="6:6" x14ac:dyDescent="0.2">
      <c r="F663" s="6"/>
    </row>
    <row r="664" spans="6:6" x14ac:dyDescent="0.2">
      <c r="F664" s="6"/>
    </row>
    <row r="665" spans="6:6" x14ac:dyDescent="0.2">
      <c r="F665" s="6"/>
    </row>
    <row r="666" spans="6:6" x14ac:dyDescent="0.2">
      <c r="F666" s="6"/>
    </row>
    <row r="667" spans="6:6" x14ac:dyDescent="0.2">
      <c r="F667" s="6"/>
    </row>
    <row r="668" spans="6:6" x14ac:dyDescent="0.2">
      <c r="F668" s="6"/>
    </row>
    <row r="669" spans="6:6" x14ac:dyDescent="0.2">
      <c r="F669" s="6"/>
    </row>
    <row r="670" spans="6:6" x14ac:dyDescent="0.2">
      <c r="F670" s="6"/>
    </row>
    <row r="671" spans="6:6" x14ac:dyDescent="0.2">
      <c r="F671" s="6"/>
    </row>
    <row r="672" spans="6:6" x14ac:dyDescent="0.2">
      <c r="F672" s="6"/>
    </row>
    <row r="673" spans="6:6" x14ac:dyDescent="0.2">
      <c r="F673" s="6"/>
    </row>
    <row r="674" spans="6:6" x14ac:dyDescent="0.2">
      <c r="F674" s="6"/>
    </row>
    <row r="675" spans="6:6" x14ac:dyDescent="0.2">
      <c r="F675" s="6"/>
    </row>
    <row r="676" spans="6:6" x14ac:dyDescent="0.2">
      <c r="F676" s="6"/>
    </row>
    <row r="677" spans="6:6" x14ac:dyDescent="0.2">
      <c r="F677" s="6"/>
    </row>
    <row r="678" spans="6:6" x14ac:dyDescent="0.2">
      <c r="F678" s="6"/>
    </row>
    <row r="679" spans="6:6" x14ac:dyDescent="0.2">
      <c r="F679" s="6"/>
    </row>
    <row r="680" spans="6:6" x14ac:dyDescent="0.2">
      <c r="F680" s="6"/>
    </row>
    <row r="681" spans="6:6" x14ac:dyDescent="0.2">
      <c r="F681" s="6"/>
    </row>
    <row r="682" spans="6:6" x14ac:dyDescent="0.2">
      <c r="F682" s="6"/>
    </row>
    <row r="683" spans="6:6" x14ac:dyDescent="0.2">
      <c r="F683" s="6"/>
    </row>
    <row r="684" spans="6:6" x14ac:dyDescent="0.2">
      <c r="F684" s="6"/>
    </row>
    <row r="685" spans="6:6" x14ac:dyDescent="0.2">
      <c r="F685" s="6"/>
    </row>
    <row r="686" spans="6:6" x14ac:dyDescent="0.2">
      <c r="F686" s="6"/>
    </row>
    <row r="687" spans="6:6" x14ac:dyDescent="0.2">
      <c r="F687" s="6"/>
    </row>
    <row r="688" spans="6:6" x14ac:dyDescent="0.2">
      <c r="F688" s="6"/>
    </row>
    <row r="689" spans="6:6" x14ac:dyDescent="0.2">
      <c r="F689" s="6"/>
    </row>
    <row r="690" spans="6:6" x14ac:dyDescent="0.2">
      <c r="F690" s="6"/>
    </row>
    <row r="691" spans="6:6" x14ac:dyDescent="0.2">
      <c r="F691" s="6"/>
    </row>
    <row r="692" spans="6:6" x14ac:dyDescent="0.2">
      <c r="F692" s="6"/>
    </row>
    <row r="693" spans="6:6" x14ac:dyDescent="0.2">
      <c r="F693" s="6"/>
    </row>
    <row r="694" spans="6:6" x14ac:dyDescent="0.2">
      <c r="F694" s="6"/>
    </row>
    <row r="695" spans="6:6" x14ac:dyDescent="0.2">
      <c r="F695" s="6"/>
    </row>
    <row r="696" spans="6:6" x14ac:dyDescent="0.2">
      <c r="F696" s="6"/>
    </row>
    <row r="697" spans="6:6" x14ac:dyDescent="0.2">
      <c r="F697" s="6"/>
    </row>
    <row r="698" spans="6:6" x14ac:dyDescent="0.2">
      <c r="F698" s="6"/>
    </row>
    <row r="699" spans="6:6" x14ac:dyDescent="0.2">
      <c r="F699" s="6"/>
    </row>
    <row r="700" spans="6:6" x14ac:dyDescent="0.2">
      <c r="F700" s="6"/>
    </row>
    <row r="701" spans="6:6" x14ac:dyDescent="0.2">
      <c r="F701" s="6"/>
    </row>
    <row r="702" spans="6:6" x14ac:dyDescent="0.2">
      <c r="F702" s="6"/>
    </row>
    <row r="703" spans="6:6" x14ac:dyDescent="0.2">
      <c r="F703" s="6"/>
    </row>
    <row r="704" spans="6:6" x14ac:dyDescent="0.2">
      <c r="F704" s="6"/>
    </row>
    <row r="705" spans="6:6" x14ac:dyDescent="0.2">
      <c r="F705" s="6"/>
    </row>
    <row r="706" spans="6:6" x14ac:dyDescent="0.2">
      <c r="F706" s="6"/>
    </row>
    <row r="707" spans="6:6" x14ac:dyDescent="0.2">
      <c r="F707" s="6"/>
    </row>
    <row r="708" spans="6:6" x14ac:dyDescent="0.2">
      <c r="F708" s="6"/>
    </row>
    <row r="709" spans="6:6" x14ac:dyDescent="0.2">
      <c r="F709" s="6"/>
    </row>
    <row r="710" spans="6:6" x14ac:dyDescent="0.2">
      <c r="F710" s="6"/>
    </row>
    <row r="711" spans="6:6" x14ac:dyDescent="0.2">
      <c r="F711" s="6"/>
    </row>
    <row r="712" spans="6:6" x14ac:dyDescent="0.2">
      <c r="F712" s="6"/>
    </row>
    <row r="713" spans="6:6" x14ac:dyDescent="0.2">
      <c r="F713" s="6"/>
    </row>
    <row r="714" spans="6:6" x14ac:dyDescent="0.2">
      <c r="F714" s="6"/>
    </row>
    <row r="715" spans="6:6" x14ac:dyDescent="0.2">
      <c r="F715" s="6"/>
    </row>
    <row r="716" spans="6:6" x14ac:dyDescent="0.2">
      <c r="F716" s="6"/>
    </row>
    <row r="717" spans="6:6" x14ac:dyDescent="0.2">
      <c r="F717" s="6"/>
    </row>
    <row r="718" spans="6:6" x14ac:dyDescent="0.2">
      <c r="F718" s="6"/>
    </row>
    <row r="719" spans="6:6" x14ac:dyDescent="0.2">
      <c r="F719" s="6"/>
    </row>
    <row r="720" spans="6:6" x14ac:dyDescent="0.2">
      <c r="F720" s="6"/>
    </row>
    <row r="721" spans="6:6" x14ac:dyDescent="0.2">
      <c r="F721" s="6"/>
    </row>
    <row r="722" spans="6:6" x14ac:dyDescent="0.2">
      <c r="F722" s="6"/>
    </row>
    <row r="723" spans="6:6" x14ac:dyDescent="0.2">
      <c r="F723" s="6"/>
    </row>
    <row r="724" spans="6:6" x14ac:dyDescent="0.2">
      <c r="F724" s="6"/>
    </row>
    <row r="725" spans="6:6" x14ac:dyDescent="0.2">
      <c r="F725" s="6"/>
    </row>
    <row r="726" spans="6:6" x14ac:dyDescent="0.2">
      <c r="F726" s="6"/>
    </row>
    <row r="727" spans="6:6" x14ac:dyDescent="0.2">
      <c r="F727" s="6"/>
    </row>
    <row r="728" spans="6:6" x14ac:dyDescent="0.2">
      <c r="F728" s="6"/>
    </row>
    <row r="729" spans="6:6" x14ac:dyDescent="0.2">
      <c r="F729" s="6"/>
    </row>
    <row r="730" spans="6:6" x14ac:dyDescent="0.2">
      <c r="F730" s="6"/>
    </row>
    <row r="731" spans="6:6" x14ac:dyDescent="0.2">
      <c r="F731" s="6"/>
    </row>
    <row r="732" spans="6:6" x14ac:dyDescent="0.2">
      <c r="F732" s="6"/>
    </row>
    <row r="733" spans="6:6" x14ac:dyDescent="0.2">
      <c r="F733" s="6"/>
    </row>
    <row r="734" spans="6:6" x14ac:dyDescent="0.2">
      <c r="F734" s="6"/>
    </row>
    <row r="735" spans="6:6" x14ac:dyDescent="0.2">
      <c r="F735" s="6"/>
    </row>
    <row r="736" spans="6:6" x14ac:dyDescent="0.2">
      <c r="F736" s="6"/>
    </row>
    <row r="737" spans="6:6" x14ac:dyDescent="0.2">
      <c r="F737" s="6"/>
    </row>
    <row r="738" spans="6:6" x14ac:dyDescent="0.2">
      <c r="F738" s="6"/>
    </row>
    <row r="739" spans="6:6" x14ac:dyDescent="0.2">
      <c r="F739" s="6"/>
    </row>
    <row r="740" spans="6:6" x14ac:dyDescent="0.2">
      <c r="F740" s="6"/>
    </row>
    <row r="741" spans="6:6" x14ac:dyDescent="0.2">
      <c r="F741" s="6"/>
    </row>
    <row r="742" spans="6:6" x14ac:dyDescent="0.2">
      <c r="F742" s="6"/>
    </row>
    <row r="743" spans="6:6" x14ac:dyDescent="0.2">
      <c r="F743" s="6"/>
    </row>
    <row r="744" spans="6:6" x14ac:dyDescent="0.2">
      <c r="F744" s="6"/>
    </row>
    <row r="745" spans="6:6" x14ac:dyDescent="0.2">
      <c r="F745" s="6"/>
    </row>
    <row r="746" spans="6:6" x14ac:dyDescent="0.2">
      <c r="F746" s="6"/>
    </row>
    <row r="747" spans="6:6" x14ac:dyDescent="0.2">
      <c r="F747" s="6"/>
    </row>
    <row r="748" spans="6:6" x14ac:dyDescent="0.2">
      <c r="F748" s="6"/>
    </row>
    <row r="749" spans="6:6" x14ac:dyDescent="0.2">
      <c r="F749" s="6"/>
    </row>
    <row r="750" spans="6:6" x14ac:dyDescent="0.2">
      <c r="F750" s="6"/>
    </row>
    <row r="751" spans="6:6" x14ac:dyDescent="0.2">
      <c r="F751" s="6"/>
    </row>
    <row r="752" spans="6:6" x14ac:dyDescent="0.2">
      <c r="F752" s="6"/>
    </row>
    <row r="753" spans="6:6" x14ac:dyDescent="0.2">
      <c r="F753" s="6"/>
    </row>
    <row r="754" spans="6:6" x14ac:dyDescent="0.2">
      <c r="F754" s="6"/>
    </row>
    <row r="755" spans="6:6" x14ac:dyDescent="0.2">
      <c r="F755" s="6"/>
    </row>
    <row r="756" spans="6:6" x14ac:dyDescent="0.2">
      <c r="F756" s="6"/>
    </row>
    <row r="757" spans="6:6" x14ac:dyDescent="0.2">
      <c r="F757" s="6"/>
    </row>
    <row r="758" spans="6:6" x14ac:dyDescent="0.2">
      <c r="F758" s="6"/>
    </row>
    <row r="759" spans="6:6" x14ac:dyDescent="0.2">
      <c r="F759" s="6"/>
    </row>
    <row r="760" spans="6:6" x14ac:dyDescent="0.2">
      <c r="F760" s="6"/>
    </row>
    <row r="761" spans="6:6" x14ac:dyDescent="0.2">
      <c r="F761" s="6"/>
    </row>
    <row r="762" spans="6:6" x14ac:dyDescent="0.2">
      <c r="F762" s="6"/>
    </row>
    <row r="763" spans="6:6" x14ac:dyDescent="0.2">
      <c r="F763" s="6"/>
    </row>
    <row r="764" spans="6:6" x14ac:dyDescent="0.2">
      <c r="F764" s="6"/>
    </row>
    <row r="765" spans="6:6" x14ac:dyDescent="0.2">
      <c r="F765" s="6"/>
    </row>
    <row r="766" spans="6:6" x14ac:dyDescent="0.2">
      <c r="F766" s="6"/>
    </row>
    <row r="767" spans="6:6" x14ac:dyDescent="0.2">
      <c r="F767" s="6"/>
    </row>
    <row r="768" spans="6:6" x14ac:dyDescent="0.2">
      <c r="F768" s="6"/>
    </row>
    <row r="769" spans="6:6" x14ac:dyDescent="0.2">
      <c r="F769" s="6"/>
    </row>
    <row r="770" spans="6:6" x14ac:dyDescent="0.2">
      <c r="F770" s="6"/>
    </row>
    <row r="771" spans="6:6" x14ac:dyDescent="0.2">
      <c r="F771" s="6"/>
    </row>
    <row r="772" spans="6:6" x14ac:dyDescent="0.2">
      <c r="F772" s="6"/>
    </row>
    <row r="773" spans="6:6" x14ac:dyDescent="0.2">
      <c r="F773" s="6"/>
    </row>
    <row r="774" spans="6:6" x14ac:dyDescent="0.2">
      <c r="F774" s="6"/>
    </row>
    <row r="775" spans="6:6" x14ac:dyDescent="0.2">
      <c r="F775" s="6"/>
    </row>
    <row r="776" spans="6:6" x14ac:dyDescent="0.2">
      <c r="F776" s="6"/>
    </row>
    <row r="777" spans="6:6" x14ac:dyDescent="0.2">
      <c r="F777" s="6"/>
    </row>
    <row r="778" spans="6:6" x14ac:dyDescent="0.2">
      <c r="F778" s="6"/>
    </row>
    <row r="779" spans="6:6" x14ac:dyDescent="0.2">
      <c r="F779" s="6"/>
    </row>
    <row r="780" spans="6:6" x14ac:dyDescent="0.2">
      <c r="F780" s="6"/>
    </row>
    <row r="781" spans="6:6" x14ac:dyDescent="0.2">
      <c r="F781" s="6"/>
    </row>
    <row r="782" spans="6:6" x14ac:dyDescent="0.2">
      <c r="F782" s="6"/>
    </row>
    <row r="783" spans="6:6" x14ac:dyDescent="0.2">
      <c r="F783" s="6"/>
    </row>
    <row r="784" spans="6:6" x14ac:dyDescent="0.2">
      <c r="F784" s="6"/>
    </row>
    <row r="785" spans="6:6" x14ac:dyDescent="0.2">
      <c r="F785" s="6"/>
    </row>
    <row r="786" spans="6:6" x14ac:dyDescent="0.2">
      <c r="F786" s="6"/>
    </row>
    <row r="787" spans="6:6" x14ac:dyDescent="0.2">
      <c r="F787" s="6"/>
    </row>
    <row r="788" spans="6:6" x14ac:dyDescent="0.2">
      <c r="F788" s="6"/>
    </row>
    <row r="789" spans="6:6" x14ac:dyDescent="0.2">
      <c r="F789" s="6"/>
    </row>
    <row r="790" spans="6:6" x14ac:dyDescent="0.2">
      <c r="F790" s="6"/>
    </row>
    <row r="791" spans="6:6" x14ac:dyDescent="0.2">
      <c r="F791" s="6"/>
    </row>
    <row r="792" spans="6:6" x14ac:dyDescent="0.2">
      <c r="F792" s="6"/>
    </row>
    <row r="793" spans="6:6" x14ac:dyDescent="0.2">
      <c r="F793" s="6"/>
    </row>
    <row r="794" spans="6:6" x14ac:dyDescent="0.2">
      <c r="F794" s="6"/>
    </row>
    <row r="795" spans="6:6" x14ac:dyDescent="0.2">
      <c r="F795" s="6"/>
    </row>
    <row r="796" spans="6:6" x14ac:dyDescent="0.2">
      <c r="F796" s="6"/>
    </row>
    <row r="797" spans="6:6" x14ac:dyDescent="0.2">
      <c r="F797" s="6"/>
    </row>
    <row r="798" spans="6:6" x14ac:dyDescent="0.2">
      <c r="F798" s="6"/>
    </row>
    <row r="799" spans="6:6" x14ac:dyDescent="0.2">
      <c r="F799" s="6"/>
    </row>
    <row r="800" spans="6:6" x14ac:dyDescent="0.2">
      <c r="F800" s="6"/>
    </row>
    <row r="801" spans="6:6" x14ac:dyDescent="0.2">
      <c r="F801" s="6"/>
    </row>
    <row r="802" spans="6:6" x14ac:dyDescent="0.2">
      <c r="F802" s="6"/>
    </row>
    <row r="803" spans="6:6" x14ac:dyDescent="0.2">
      <c r="F803" s="6"/>
    </row>
    <row r="804" spans="6:6" x14ac:dyDescent="0.2">
      <c r="F804" s="6"/>
    </row>
    <row r="805" spans="6:6" x14ac:dyDescent="0.2">
      <c r="F805" s="6"/>
    </row>
    <row r="806" spans="6:6" x14ac:dyDescent="0.2">
      <c r="F806" s="6"/>
    </row>
    <row r="807" spans="6:6" x14ac:dyDescent="0.2">
      <c r="F807" s="6"/>
    </row>
    <row r="808" spans="6:6" x14ac:dyDescent="0.2">
      <c r="F808" s="6"/>
    </row>
    <row r="809" spans="6:6" x14ac:dyDescent="0.2">
      <c r="F809" s="6"/>
    </row>
    <row r="810" spans="6:6" x14ac:dyDescent="0.2">
      <c r="F810" s="6"/>
    </row>
    <row r="811" spans="6:6" x14ac:dyDescent="0.2">
      <c r="F811" s="6"/>
    </row>
    <row r="812" spans="6:6" x14ac:dyDescent="0.2">
      <c r="F812" s="6"/>
    </row>
    <row r="813" spans="6:6" x14ac:dyDescent="0.2">
      <c r="F813" s="6"/>
    </row>
    <row r="814" spans="6:6" x14ac:dyDescent="0.2">
      <c r="F814" s="6"/>
    </row>
    <row r="815" spans="6:6" x14ac:dyDescent="0.2">
      <c r="F815" s="6"/>
    </row>
    <row r="816" spans="6:6" x14ac:dyDescent="0.2">
      <c r="F816" s="6"/>
    </row>
    <row r="817" spans="6:6" x14ac:dyDescent="0.2">
      <c r="F817" s="6"/>
    </row>
    <row r="818" spans="6:6" x14ac:dyDescent="0.2">
      <c r="F818" s="6"/>
    </row>
    <row r="819" spans="6:6" x14ac:dyDescent="0.2">
      <c r="F819" s="6"/>
    </row>
    <row r="820" spans="6:6" x14ac:dyDescent="0.2">
      <c r="F820" s="6"/>
    </row>
    <row r="821" spans="6:6" x14ac:dyDescent="0.2">
      <c r="F821" s="6"/>
    </row>
    <row r="822" spans="6:6" x14ac:dyDescent="0.2">
      <c r="F822" s="6"/>
    </row>
    <row r="823" spans="6:6" x14ac:dyDescent="0.2">
      <c r="F823" s="6"/>
    </row>
    <row r="824" spans="6:6" x14ac:dyDescent="0.2">
      <c r="F824" s="6"/>
    </row>
    <row r="825" spans="6:6" x14ac:dyDescent="0.2">
      <c r="F825" s="6"/>
    </row>
    <row r="826" spans="6:6" x14ac:dyDescent="0.2">
      <c r="F826" s="6"/>
    </row>
    <row r="827" spans="6:6" x14ac:dyDescent="0.2">
      <c r="F827" s="6"/>
    </row>
    <row r="828" spans="6:6" x14ac:dyDescent="0.2">
      <c r="F828" s="6"/>
    </row>
    <row r="829" spans="6:6" x14ac:dyDescent="0.2">
      <c r="F829" s="6"/>
    </row>
    <row r="830" spans="6:6" x14ac:dyDescent="0.2">
      <c r="F830" s="6"/>
    </row>
    <row r="831" spans="6:6" x14ac:dyDescent="0.2">
      <c r="F831" s="6"/>
    </row>
    <row r="832" spans="6:6" x14ac:dyDescent="0.2">
      <c r="F832" s="6"/>
    </row>
    <row r="833" spans="6:6" x14ac:dyDescent="0.2">
      <c r="F833" s="6"/>
    </row>
    <row r="834" spans="6:6" x14ac:dyDescent="0.2">
      <c r="F834" s="6"/>
    </row>
    <row r="835" spans="6:6" x14ac:dyDescent="0.2">
      <c r="F835" s="6"/>
    </row>
    <row r="836" spans="6:6" x14ac:dyDescent="0.2">
      <c r="F836" s="6"/>
    </row>
    <row r="837" spans="6:6" x14ac:dyDescent="0.2">
      <c r="F837" s="6"/>
    </row>
    <row r="838" spans="6:6" x14ac:dyDescent="0.2">
      <c r="F838" s="6"/>
    </row>
    <row r="839" spans="6:6" x14ac:dyDescent="0.2">
      <c r="F839" s="6"/>
    </row>
    <row r="840" spans="6:6" x14ac:dyDescent="0.2">
      <c r="F840" s="6"/>
    </row>
    <row r="841" spans="6:6" x14ac:dyDescent="0.2">
      <c r="F841" s="6"/>
    </row>
    <row r="842" spans="6:6" x14ac:dyDescent="0.2">
      <c r="F842" s="6"/>
    </row>
    <row r="843" spans="6:6" x14ac:dyDescent="0.2">
      <c r="F843" s="6"/>
    </row>
    <row r="844" spans="6:6" x14ac:dyDescent="0.2">
      <c r="F844" s="6"/>
    </row>
    <row r="845" spans="6:6" x14ac:dyDescent="0.2">
      <c r="F845" s="6"/>
    </row>
    <row r="846" spans="6:6" x14ac:dyDescent="0.2">
      <c r="F846" s="6"/>
    </row>
    <row r="847" spans="6:6" x14ac:dyDescent="0.2">
      <c r="F847" s="6"/>
    </row>
    <row r="848" spans="6:6" x14ac:dyDescent="0.2">
      <c r="F848" s="6"/>
    </row>
    <row r="849" spans="6:6" x14ac:dyDescent="0.2">
      <c r="F849" s="6"/>
    </row>
    <row r="850" spans="6:6" x14ac:dyDescent="0.2">
      <c r="F850" s="6"/>
    </row>
    <row r="851" spans="6:6" x14ac:dyDescent="0.2">
      <c r="F851" s="6"/>
    </row>
    <row r="852" spans="6:6" x14ac:dyDescent="0.2">
      <c r="F852" s="6"/>
    </row>
    <row r="853" spans="6:6" x14ac:dyDescent="0.2">
      <c r="F853" s="6"/>
    </row>
    <row r="854" spans="6:6" x14ac:dyDescent="0.2">
      <c r="F854" s="6"/>
    </row>
    <row r="855" spans="6:6" x14ac:dyDescent="0.2">
      <c r="F855" s="6"/>
    </row>
    <row r="856" spans="6:6" x14ac:dyDescent="0.2">
      <c r="F856" s="6"/>
    </row>
    <row r="857" spans="6:6" x14ac:dyDescent="0.2">
      <c r="F857" s="6"/>
    </row>
    <row r="858" spans="6:6" x14ac:dyDescent="0.2">
      <c r="F858" s="6"/>
    </row>
    <row r="859" spans="6:6" x14ac:dyDescent="0.2">
      <c r="F859" s="6"/>
    </row>
    <row r="860" spans="6:6" x14ac:dyDescent="0.2">
      <c r="F860" s="6"/>
    </row>
    <row r="861" spans="6:6" x14ac:dyDescent="0.2">
      <c r="F861" s="6"/>
    </row>
    <row r="862" spans="6:6" x14ac:dyDescent="0.2">
      <c r="F862" s="6"/>
    </row>
    <row r="863" spans="6:6" x14ac:dyDescent="0.2">
      <c r="F863" s="6"/>
    </row>
    <row r="864" spans="6:6" x14ac:dyDescent="0.2">
      <c r="F864" s="6"/>
    </row>
    <row r="865" spans="6:6" x14ac:dyDescent="0.2">
      <c r="F865" s="6"/>
    </row>
    <row r="866" spans="6:6" x14ac:dyDescent="0.2">
      <c r="F866" s="6"/>
    </row>
    <row r="867" spans="6:6" x14ac:dyDescent="0.2">
      <c r="F867" s="6"/>
    </row>
    <row r="868" spans="6:6" x14ac:dyDescent="0.2">
      <c r="F868" s="6"/>
    </row>
    <row r="869" spans="6:6" x14ac:dyDescent="0.2">
      <c r="F869" s="6"/>
    </row>
    <row r="870" spans="6:6" x14ac:dyDescent="0.2">
      <c r="F870" s="6"/>
    </row>
    <row r="871" spans="6:6" x14ac:dyDescent="0.2">
      <c r="F871" s="6"/>
    </row>
    <row r="872" spans="6:6" x14ac:dyDescent="0.2">
      <c r="F872" s="6"/>
    </row>
    <row r="873" spans="6:6" x14ac:dyDescent="0.2">
      <c r="F873" s="6"/>
    </row>
    <row r="874" spans="6:6" x14ac:dyDescent="0.2">
      <c r="F874" s="6"/>
    </row>
    <row r="875" spans="6:6" x14ac:dyDescent="0.2">
      <c r="F875" s="6"/>
    </row>
    <row r="876" spans="6:6" x14ac:dyDescent="0.2">
      <c r="F876" s="6"/>
    </row>
    <row r="877" spans="6:6" x14ac:dyDescent="0.2">
      <c r="F877" s="6"/>
    </row>
    <row r="878" spans="6:6" x14ac:dyDescent="0.2">
      <c r="F878" s="6"/>
    </row>
    <row r="879" spans="6:6" x14ac:dyDescent="0.2">
      <c r="F879" s="6"/>
    </row>
    <row r="880" spans="6:6" x14ac:dyDescent="0.2">
      <c r="F880" s="6"/>
    </row>
    <row r="881" spans="6:6" x14ac:dyDescent="0.2">
      <c r="F881" s="6"/>
    </row>
    <row r="882" spans="6:6" x14ac:dyDescent="0.2">
      <c r="F882" s="6"/>
    </row>
    <row r="883" spans="6:6" x14ac:dyDescent="0.2">
      <c r="F883" s="6"/>
    </row>
    <row r="884" spans="6:6" x14ac:dyDescent="0.2">
      <c r="F884" s="6"/>
    </row>
    <row r="885" spans="6:6" x14ac:dyDescent="0.2">
      <c r="F885" s="6"/>
    </row>
    <row r="886" spans="6:6" x14ac:dyDescent="0.2">
      <c r="F886" s="6"/>
    </row>
    <row r="887" spans="6:6" x14ac:dyDescent="0.2">
      <c r="F887" s="6"/>
    </row>
    <row r="888" spans="6:6" x14ac:dyDescent="0.2">
      <c r="F888" s="6"/>
    </row>
    <row r="889" spans="6:6" x14ac:dyDescent="0.2">
      <c r="F889" s="6"/>
    </row>
    <row r="890" spans="6:6" x14ac:dyDescent="0.2">
      <c r="F890" s="6"/>
    </row>
    <row r="891" spans="6:6" x14ac:dyDescent="0.2">
      <c r="F891" s="6"/>
    </row>
    <row r="892" spans="6:6" x14ac:dyDescent="0.2">
      <c r="F892" s="6"/>
    </row>
    <row r="893" spans="6:6" x14ac:dyDescent="0.2">
      <c r="F893" s="6"/>
    </row>
    <row r="894" spans="6:6" x14ac:dyDescent="0.2">
      <c r="F894" s="6"/>
    </row>
    <row r="895" spans="6:6" x14ac:dyDescent="0.2">
      <c r="F895" s="6"/>
    </row>
    <row r="896" spans="6:6" x14ac:dyDescent="0.2">
      <c r="F896" s="6"/>
    </row>
    <row r="897" spans="6:6" x14ac:dyDescent="0.2">
      <c r="F897" s="6"/>
    </row>
    <row r="898" spans="6:6" x14ac:dyDescent="0.2">
      <c r="F898" s="6"/>
    </row>
    <row r="899" spans="6:6" x14ac:dyDescent="0.2">
      <c r="F899" s="6"/>
    </row>
    <row r="900" spans="6:6" x14ac:dyDescent="0.2">
      <c r="F900" s="6"/>
    </row>
    <row r="901" spans="6:6" x14ac:dyDescent="0.2">
      <c r="F901" s="6"/>
    </row>
    <row r="902" spans="6:6" x14ac:dyDescent="0.2">
      <c r="F902" s="6"/>
    </row>
    <row r="903" spans="6:6" x14ac:dyDescent="0.2">
      <c r="F903" s="6"/>
    </row>
    <row r="904" spans="6:6" x14ac:dyDescent="0.2">
      <c r="F904" s="6"/>
    </row>
    <row r="905" spans="6:6" x14ac:dyDescent="0.2">
      <c r="F905" s="6"/>
    </row>
    <row r="906" spans="6:6" x14ac:dyDescent="0.2">
      <c r="F906" s="6"/>
    </row>
    <row r="907" spans="6:6" x14ac:dyDescent="0.2">
      <c r="F907" s="6"/>
    </row>
    <row r="908" spans="6:6" x14ac:dyDescent="0.2">
      <c r="F908" s="6"/>
    </row>
    <row r="909" spans="6:6" x14ac:dyDescent="0.2">
      <c r="F909" s="6"/>
    </row>
    <row r="910" spans="6:6" x14ac:dyDescent="0.2">
      <c r="F910" s="6"/>
    </row>
    <row r="911" spans="6:6" x14ac:dyDescent="0.2">
      <c r="F911" s="6"/>
    </row>
    <row r="912" spans="6:6" x14ac:dyDescent="0.2">
      <c r="F912" s="6"/>
    </row>
    <row r="913" spans="6:6" x14ac:dyDescent="0.2">
      <c r="F913" s="6"/>
    </row>
    <row r="914" spans="6:6" x14ac:dyDescent="0.2">
      <c r="F914" s="6"/>
    </row>
    <row r="915" spans="6:6" x14ac:dyDescent="0.2">
      <c r="F915" s="6"/>
    </row>
    <row r="916" spans="6:6" x14ac:dyDescent="0.2">
      <c r="F916" s="6"/>
    </row>
    <row r="917" spans="6:6" x14ac:dyDescent="0.2">
      <c r="F917" s="6"/>
    </row>
    <row r="918" spans="6:6" x14ac:dyDescent="0.2">
      <c r="F918" s="6"/>
    </row>
    <row r="919" spans="6:6" x14ac:dyDescent="0.2">
      <c r="F919" s="6"/>
    </row>
    <row r="920" spans="6:6" x14ac:dyDescent="0.2">
      <c r="F920" s="6"/>
    </row>
    <row r="921" spans="6:6" x14ac:dyDescent="0.2">
      <c r="F921" s="6"/>
    </row>
    <row r="922" spans="6:6" x14ac:dyDescent="0.2">
      <c r="F922" s="6"/>
    </row>
    <row r="923" spans="6:6" x14ac:dyDescent="0.2">
      <c r="F923" s="6"/>
    </row>
    <row r="924" spans="6:6" x14ac:dyDescent="0.2">
      <c r="F924" s="6"/>
    </row>
    <row r="925" spans="6:6" x14ac:dyDescent="0.2">
      <c r="F925" s="6"/>
    </row>
    <row r="926" spans="6:6" x14ac:dyDescent="0.2">
      <c r="F926" s="6"/>
    </row>
    <row r="927" spans="6:6" x14ac:dyDescent="0.2">
      <c r="F927" s="6"/>
    </row>
    <row r="928" spans="6:6" x14ac:dyDescent="0.2">
      <c r="F928" s="6"/>
    </row>
    <row r="929" spans="6:6" x14ac:dyDescent="0.2">
      <c r="F929" s="6"/>
    </row>
    <row r="930" spans="6:6" x14ac:dyDescent="0.2">
      <c r="F930" s="6"/>
    </row>
    <row r="931" spans="6:6" x14ac:dyDescent="0.2">
      <c r="F931" s="6"/>
    </row>
    <row r="932" spans="6:6" x14ac:dyDescent="0.2">
      <c r="F932" s="6"/>
    </row>
    <row r="933" spans="6:6" x14ac:dyDescent="0.2">
      <c r="F933" s="6"/>
    </row>
    <row r="934" spans="6:6" x14ac:dyDescent="0.2">
      <c r="F934" s="6"/>
    </row>
    <row r="935" spans="6:6" x14ac:dyDescent="0.2">
      <c r="F935" s="6"/>
    </row>
    <row r="936" spans="6:6" x14ac:dyDescent="0.2">
      <c r="F936" s="6"/>
    </row>
    <row r="937" spans="6:6" x14ac:dyDescent="0.2">
      <c r="F937" s="6"/>
    </row>
    <row r="938" spans="6:6" x14ac:dyDescent="0.2">
      <c r="F938" s="6"/>
    </row>
    <row r="939" spans="6:6" x14ac:dyDescent="0.2">
      <c r="F939" s="6"/>
    </row>
    <row r="940" spans="6:6" x14ac:dyDescent="0.2">
      <c r="F940" s="6"/>
    </row>
    <row r="941" spans="6:6" x14ac:dyDescent="0.2">
      <c r="F941" s="6"/>
    </row>
    <row r="942" spans="6:6" x14ac:dyDescent="0.2">
      <c r="F942" s="6"/>
    </row>
    <row r="943" spans="6:6" x14ac:dyDescent="0.2">
      <c r="F943" s="6"/>
    </row>
    <row r="944" spans="6:6" x14ac:dyDescent="0.2">
      <c r="F944" s="6"/>
    </row>
    <row r="945" spans="6:6" x14ac:dyDescent="0.2">
      <c r="F945" s="6"/>
    </row>
    <row r="946" spans="6:6" x14ac:dyDescent="0.2">
      <c r="F946" s="6"/>
    </row>
    <row r="947" spans="6:6" x14ac:dyDescent="0.2">
      <c r="F947" s="6"/>
    </row>
    <row r="948" spans="6:6" x14ac:dyDescent="0.2">
      <c r="F948" s="6"/>
    </row>
    <row r="949" spans="6:6" x14ac:dyDescent="0.2">
      <c r="F949" s="6"/>
    </row>
    <row r="950" spans="6:6" x14ac:dyDescent="0.2">
      <c r="F950" s="6"/>
    </row>
    <row r="951" spans="6:6" x14ac:dyDescent="0.2">
      <c r="F951" s="6"/>
    </row>
    <row r="952" spans="6:6" x14ac:dyDescent="0.2">
      <c r="F952" s="6"/>
    </row>
    <row r="953" spans="6:6" x14ac:dyDescent="0.2">
      <c r="F953" s="6"/>
    </row>
    <row r="954" spans="6:6" x14ac:dyDescent="0.2">
      <c r="F954" s="6"/>
    </row>
    <row r="955" spans="6:6" x14ac:dyDescent="0.2">
      <c r="F955" s="6"/>
    </row>
    <row r="956" spans="6:6" x14ac:dyDescent="0.2">
      <c r="F956" s="6"/>
    </row>
    <row r="957" spans="6:6" x14ac:dyDescent="0.2">
      <c r="F957" s="6"/>
    </row>
    <row r="958" spans="6:6" x14ac:dyDescent="0.2">
      <c r="F958" s="6"/>
    </row>
    <row r="959" spans="6:6" x14ac:dyDescent="0.2">
      <c r="F959" s="6"/>
    </row>
    <row r="960" spans="6:6" x14ac:dyDescent="0.2">
      <c r="F960" s="6"/>
    </row>
    <row r="961" spans="6:6" x14ac:dyDescent="0.2">
      <c r="F961" s="6"/>
    </row>
    <row r="962" spans="6:6" x14ac:dyDescent="0.2">
      <c r="F962" s="6"/>
    </row>
    <row r="963" spans="6:6" x14ac:dyDescent="0.2">
      <c r="F963" s="6"/>
    </row>
    <row r="964" spans="6:6" x14ac:dyDescent="0.2">
      <c r="F964" s="6"/>
    </row>
    <row r="965" spans="6:6" x14ac:dyDescent="0.2">
      <c r="F965" s="6"/>
    </row>
    <row r="966" spans="6:6" x14ac:dyDescent="0.2">
      <c r="F966" s="6"/>
    </row>
    <row r="967" spans="6:6" x14ac:dyDescent="0.2">
      <c r="F967" s="6"/>
    </row>
    <row r="968" spans="6:6" x14ac:dyDescent="0.2">
      <c r="F968" s="6"/>
    </row>
    <row r="969" spans="6:6" x14ac:dyDescent="0.2">
      <c r="F969" s="6"/>
    </row>
    <row r="970" spans="6:6" x14ac:dyDescent="0.2">
      <c r="F970" s="6"/>
    </row>
    <row r="971" spans="6:6" x14ac:dyDescent="0.2">
      <c r="F971" s="6"/>
    </row>
    <row r="972" spans="6:6" x14ac:dyDescent="0.2">
      <c r="F972" s="6"/>
    </row>
    <row r="973" spans="6:6" x14ac:dyDescent="0.2">
      <c r="F973" s="6"/>
    </row>
    <row r="974" spans="6:6" x14ac:dyDescent="0.2">
      <c r="F974" s="6"/>
    </row>
    <row r="975" spans="6:6" x14ac:dyDescent="0.2">
      <c r="F975" s="6"/>
    </row>
    <row r="976" spans="6:6" x14ac:dyDescent="0.2">
      <c r="F976" s="6"/>
    </row>
    <row r="977" spans="6:6" x14ac:dyDescent="0.2">
      <c r="F977" s="6"/>
    </row>
    <row r="978" spans="6:6" x14ac:dyDescent="0.2">
      <c r="F978" s="6"/>
    </row>
    <row r="979" spans="6:6" x14ac:dyDescent="0.2">
      <c r="F979" s="6"/>
    </row>
    <row r="980" spans="6:6" x14ac:dyDescent="0.2">
      <c r="F980" s="6"/>
    </row>
    <row r="981" spans="6:6" x14ac:dyDescent="0.2">
      <c r="F981" s="6"/>
    </row>
    <row r="982" spans="6:6" x14ac:dyDescent="0.2">
      <c r="F982" s="6"/>
    </row>
    <row r="983" spans="6:6" x14ac:dyDescent="0.2">
      <c r="F983" s="6"/>
    </row>
    <row r="984" spans="6:6" x14ac:dyDescent="0.2">
      <c r="F984" s="6"/>
    </row>
    <row r="985" spans="6:6" x14ac:dyDescent="0.2">
      <c r="F985" s="6"/>
    </row>
    <row r="986" spans="6:6" x14ac:dyDescent="0.2">
      <c r="F986" s="6"/>
    </row>
    <row r="987" spans="6:6" x14ac:dyDescent="0.2">
      <c r="F987" s="6"/>
    </row>
    <row r="988" spans="6:6" x14ac:dyDescent="0.2">
      <c r="F988" s="6"/>
    </row>
    <row r="989" spans="6:6" x14ac:dyDescent="0.2">
      <c r="F989" s="6"/>
    </row>
    <row r="990" spans="6:6" x14ac:dyDescent="0.2">
      <c r="F990" s="6"/>
    </row>
    <row r="991" spans="6:6" x14ac:dyDescent="0.2">
      <c r="F991" s="6"/>
    </row>
    <row r="992" spans="6:6" x14ac:dyDescent="0.2">
      <c r="F992" s="6"/>
    </row>
    <row r="993" spans="6:6" x14ac:dyDescent="0.2">
      <c r="F993" s="6"/>
    </row>
    <row r="994" spans="6:6" x14ac:dyDescent="0.2">
      <c r="F994" s="6"/>
    </row>
    <row r="995" spans="6:6" x14ac:dyDescent="0.2">
      <c r="F995" s="6"/>
    </row>
    <row r="996" spans="6:6" x14ac:dyDescent="0.2">
      <c r="F996" s="6"/>
    </row>
    <row r="997" spans="6:6" x14ac:dyDescent="0.2">
      <c r="F997" s="6"/>
    </row>
    <row r="998" spans="6:6" x14ac:dyDescent="0.2">
      <c r="F998" s="6"/>
    </row>
    <row r="999" spans="6:6" x14ac:dyDescent="0.2">
      <c r="F999" s="6"/>
    </row>
    <row r="1000" spans="6:6" x14ac:dyDescent="0.2">
      <c r="F1000" s="6"/>
    </row>
    <row r="1001" spans="6:6" x14ac:dyDescent="0.2">
      <c r="F1001" s="6"/>
    </row>
    <row r="1002" spans="6:6" x14ac:dyDescent="0.2">
      <c r="F1002" s="6"/>
    </row>
    <row r="1003" spans="6:6" x14ac:dyDescent="0.2">
      <c r="F1003" s="6"/>
    </row>
    <row r="1004" spans="6:6" x14ac:dyDescent="0.2">
      <c r="F1004" s="6"/>
    </row>
    <row r="1005" spans="6:6" x14ac:dyDescent="0.2">
      <c r="F1005" s="6"/>
    </row>
    <row r="1006" spans="6:6" x14ac:dyDescent="0.2">
      <c r="F1006" s="6"/>
    </row>
    <row r="1007" spans="6:6" x14ac:dyDescent="0.2">
      <c r="F1007" s="6"/>
    </row>
    <row r="1008" spans="6:6" x14ac:dyDescent="0.2">
      <c r="F1008" s="6"/>
    </row>
    <row r="1009" spans="6:6" x14ac:dyDescent="0.2">
      <c r="F1009" s="6"/>
    </row>
    <row r="1010" spans="6:6" x14ac:dyDescent="0.2">
      <c r="F1010" s="6"/>
    </row>
    <row r="1011" spans="6:6" x14ac:dyDescent="0.2">
      <c r="F1011" s="6"/>
    </row>
    <row r="1012" spans="6:6" x14ac:dyDescent="0.2">
      <c r="F1012" s="6"/>
    </row>
    <row r="1013" spans="6:6" x14ac:dyDescent="0.2">
      <c r="F1013" s="6"/>
    </row>
    <row r="1014" spans="6:6" x14ac:dyDescent="0.2">
      <c r="F1014" s="6"/>
    </row>
    <row r="1015" spans="6:6" x14ac:dyDescent="0.2">
      <c r="F1015" s="6"/>
    </row>
    <row r="1016" spans="6:6" x14ac:dyDescent="0.2">
      <c r="F1016" s="6"/>
    </row>
    <row r="1017" spans="6:6" x14ac:dyDescent="0.2">
      <c r="F1017" s="6"/>
    </row>
    <row r="1018" spans="6:6" x14ac:dyDescent="0.2">
      <c r="F1018" s="6"/>
    </row>
    <row r="1019" spans="6:6" x14ac:dyDescent="0.2">
      <c r="F1019" s="6"/>
    </row>
    <row r="1020" spans="6:6" x14ac:dyDescent="0.2">
      <c r="F1020" s="6"/>
    </row>
    <row r="1021" spans="6:6" x14ac:dyDescent="0.2">
      <c r="F1021" s="6"/>
    </row>
    <row r="1022" spans="6:6" x14ac:dyDescent="0.2">
      <c r="F1022" s="6"/>
    </row>
    <row r="1023" spans="6:6" x14ac:dyDescent="0.2">
      <c r="F1023" s="6"/>
    </row>
    <row r="1024" spans="6:6" x14ac:dyDescent="0.2">
      <c r="F1024" s="6"/>
    </row>
    <row r="1025" spans="6:6" x14ac:dyDescent="0.2">
      <c r="F1025" s="6"/>
    </row>
    <row r="1026" spans="6:6" x14ac:dyDescent="0.2">
      <c r="F1026" s="6"/>
    </row>
    <row r="1027" spans="6:6" x14ac:dyDescent="0.2">
      <c r="F1027" s="6"/>
    </row>
    <row r="1028" spans="6:6" x14ac:dyDescent="0.2">
      <c r="F1028" s="6"/>
    </row>
    <row r="1029" spans="6:6" x14ac:dyDescent="0.2">
      <c r="F1029" s="6"/>
    </row>
    <row r="1030" spans="6:6" x14ac:dyDescent="0.2">
      <c r="F1030" s="6"/>
    </row>
    <row r="1031" spans="6:6" x14ac:dyDescent="0.2">
      <c r="F1031" s="6"/>
    </row>
    <row r="1032" spans="6:6" x14ac:dyDescent="0.2">
      <c r="F1032" s="6"/>
    </row>
    <row r="1033" spans="6:6" x14ac:dyDescent="0.2">
      <c r="F1033" s="6"/>
    </row>
    <row r="1034" spans="6:6" x14ac:dyDescent="0.2">
      <c r="F1034" s="6"/>
    </row>
    <row r="1035" spans="6:6" x14ac:dyDescent="0.2">
      <c r="F1035" s="6"/>
    </row>
    <row r="1036" spans="6:6" x14ac:dyDescent="0.2">
      <c r="F1036" s="6"/>
    </row>
    <row r="1037" spans="6:6" x14ac:dyDescent="0.2">
      <c r="F1037" s="6"/>
    </row>
    <row r="1038" spans="6:6" x14ac:dyDescent="0.2">
      <c r="F1038" s="6"/>
    </row>
    <row r="1039" spans="6:6" x14ac:dyDescent="0.2">
      <c r="F1039" s="6"/>
    </row>
    <row r="1040" spans="6:6" x14ac:dyDescent="0.2">
      <c r="F1040" s="6"/>
    </row>
    <row r="1041" spans="6:6" x14ac:dyDescent="0.2">
      <c r="F1041" s="6"/>
    </row>
    <row r="1042" spans="6:6" x14ac:dyDescent="0.2">
      <c r="F1042" s="6"/>
    </row>
    <row r="1043" spans="6:6" x14ac:dyDescent="0.2">
      <c r="F1043" s="6"/>
    </row>
    <row r="1044" spans="6:6" x14ac:dyDescent="0.2">
      <c r="F1044" s="6"/>
    </row>
    <row r="1045" spans="6:6" x14ac:dyDescent="0.2">
      <c r="F1045" s="6"/>
    </row>
    <row r="1046" spans="6:6" x14ac:dyDescent="0.2">
      <c r="F1046" s="6"/>
    </row>
    <row r="1047" spans="6:6" x14ac:dyDescent="0.2">
      <c r="F1047" s="6"/>
    </row>
    <row r="1048" spans="6:6" x14ac:dyDescent="0.2">
      <c r="F1048" s="6"/>
    </row>
    <row r="1049" spans="6:6" x14ac:dyDescent="0.2">
      <c r="F1049" s="6"/>
    </row>
    <row r="1050" spans="6:6" x14ac:dyDescent="0.2">
      <c r="F1050" s="6"/>
    </row>
    <row r="1051" spans="6:6" x14ac:dyDescent="0.2">
      <c r="F1051" s="6"/>
    </row>
    <row r="1052" spans="6:6" x14ac:dyDescent="0.2">
      <c r="F1052" s="6"/>
    </row>
    <row r="1053" spans="6:6" x14ac:dyDescent="0.2">
      <c r="F1053" s="6"/>
    </row>
    <row r="1054" spans="6:6" x14ac:dyDescent="0.2">
      <c r="F1054" s="6"/>
    </row>
    <row r="1055" spans="6:6" x14ac:dyDescent="0.2">
      <c r="F1055" s="6"/>
    </row>
    <row r="1056" spans="6:6" x14ac:dyDescent="0.2">
      <c r="F1056" s="6"/>
    </row>
    <row r="1057" spans="6:6" x14ac:dyDescent="0.2">
      <c r="F1057" s="6"/>
    </row>
    <row r="1058" spans="6:6" x14ac:dyDescent="0.2">
      <c r="F1058" s="6"/>
    </row>
    <row r="1059" spans="6:6" x14ac:dyDescent="0.2">
      <c r="F1059" s="6"/>
    </row>
    <row r="1060" spans="6:6" x14ac:dyDescent="0.2">
      <c r="F1060" s="6"/>
    </row>
    <row r="1061" spans="6:6" x14ac:dyDescent="0.2">
      <c r="F1061" s="6"/>
    </row>
    <row r="1062" spans="6:6" x14ac:dyDescent="0.2">
      <c r="F1062" s="6"/>
    </row>
    <row r="1063" spans="6:6" x14ac:dyDescent="0.2">
      <c r="F1063" s="6"/>
    </row>
    <row r="1064" spans="6:6" x14ac:dyDescent="0.2">
      <c r="F1064" s="6"/>
    </row>
    <row r="1065" spans="6:6" x14ac:dyDescent="0.2">
      <c r="F1065" s="6"/>
    </row>
    <row r="1066" spans="6:6" x14ac:dyDescent="0.2">
      <c r="F1066" s="6"/>
    </row>
    <row r="1067" spans="6:6" x14ac:dyDescent="0.2">
      <c r="F1067" s="6"/>
    </row>
    <row r="1068" spans="6:6" x14ac:dyDescent="0.2">
      <c r="F1068" s="6"/>
    </row>
    <row r="1069" spans="6:6" x14ac:dyDescent="0.2">
      <c r="F1069" s="6"/>
    </row>
    <row r="1070" spans="6:6" x14ac:dyDescent="0.2">
      <c r="F1070" s="6"/>
    </row>
    <row r="1071" spans="6:6" x14ac:dyDescent="0.2">
      <c r="F1071" s="6"/>
    </row>
    <row r="1072" spans="6:6" x14ac:dyDescent="0.2">
      <c r="F1072" s="6"/>
    </row>
    <row r="1073" spans="6:6" x14ac:dyDescent="0.2">
      <c r="F1073" s="6"/>
    </row>
    <row r="1074" spans="6:6" x14ac:dyDescent="0.2">
      <c r="F1074" s="6"/>
    </row>
    <row r="1075" spans="6:6" x14ac:dyDescent="0.2">
      <c r="F1075" s="6"/>
    </row>
    <row r="1076" spans="6:6" x14ac:dyDescent="0.2">
      <c r="F1076" s="6"/>
    </row>
    <row r="1077" spans="6:6" x14ac:dyDescent="0.2">
      <c r="F1077" s="6"/>
    </row>
    <row r="1078" spans="6:6" x14ac:dyDescent="0.2">
      <c r="F1078" s="6"/>
    </row>
    <row r="1079" spans="6:6" x14ac:dyDescent="0.2">
      <c r="F1079" s="6"/>
    </row>
    <row r="1080" spans="6:6" x14ac:dyDescent="0.2">
      <c r="F1080" s="6"/>
    </row>
    <row r="1081" spans="6:6" x14ac:dyDescent="0.2">
      <c r="F1081" s="6"/>
    </row>
    <row r="1082" spans="6:6" x14ac:dyDescent="0.2">
      <c r="F1082" s="6"/>
    </row>
    <row r="1083" spans="6:6" x14ac:dyDescent="0.2">
      <c r="F1083" s="6"/>
    </row>
    <row r="1084" spans="6:6" x14ac:dyDescent="0.2">
      <c r="F1084" s="6"/>
    </row>
    <row r="1085" spans="6:6" x14ac:dyDescent="0.2">
      <c r="F1085" s="6"/>
    </row>
    <row r="1086" spans="6:6" x14ac:dyDescent="0.2">
      <c r="F1086" s="6"/>
    </row>
    <row r="1087" spans="6:6" x14ac:dyDescent="0.2">
      <c r="F1087" s="6"/>
    </row>
    <row r="1088" spans="6:6" x14ac:dyDescent="0.2">
      <c r="F1088" s="6"/>
    </row>
    <row r="1089" spans="6:6" x14ac:dyDescent="0.2">
      <c r="F1089" s="6"/>
    </row>
    <row r="1090" spans="6:6" x14ac:dyDescent="0.2">
      <c r="F1090" s="6"/>
    </row>
    <row r="1091" spans="6:6" x14ac:dyDescent="0.2">
      <c r="F1091" s="6"/>
    </row>
    <row r="1092" spans="6:6" x14ac:dyDescent="0.2">
      <c r="F1092" s="6"/>
    </row>
    <row r="1093" spans="6:6" x14ac:dyDescent="0.2">
      <c r="F1093" s="6"/>
    </row>
    <row r="1094" spans="6:6" x14ac:dyDescent="0.2">
      <c r="F1094" s="6"/>
    </row>
    <row r="1095" spans="6:6" x14ac:dyDescent="0.2">
      <c r="F1095" s="6"/>
    </row>
    <row r="1096" spans="6:6" x14ac:dyDescent="0.2">
      <c r="F1096" s="6"/>
    </row>
    <row r="1097" spans="6:6" x14ac:dyDescent="0.2">
      <c r="F1097" s="6"/>
    </row>
    <row r="1098" spans="6:6" x14ac:dyDescent="0.2">
      <c r="F1098" s="6"/>
    </row>
    <row r="1099" spans="6:6" x14ac:dyDescent="0.2">
      <c r="F1099" s="6"/>
    </row>
    <row r="1100" spans="6:6" x14ac:dyDescent="0.2">
      <c r="F1100" s="6"/>
    </row>
    <row r="1101" spans="6:6" x14ac:dyDescent="0.2">
      <c r="F1101" s="6"/>
    </row>
    <row r="1102" spans="6:6" x14ac:dyDescent="0.2">
      <c r="F1102" s="6"/>
    </row>
    <row r="1103" spans="6:6" x14ac:dyDescent="0.2">
      <c r="F1103" s="6"/>
    </row>
    <row r="1104" spans="6:6" x14ac:dyDescent="0.2">
      <c r="F1104" s="6"/>
    </row>
    <row r="1105" spans="6:6" x14ac:dyDescent="0.2">
      <c r="F1105" s="6"/>
    </row>
    <row r="1106" spans="6:6" x14ac:dyDescent="0.2">
      <c r="F1106" s="6"/>
    </row>
    <row r="1107" spans="6:6" x14ac:dyDescent="0.2">
      <c r="F1107" s="6"/>
    </row>
    <row r="1108" spans="6:6" x14ac:dyDescent="0.2">
      <c r="F1108" s="6"/>
    </row>
    <row r="1109" spans="6:6" x14ac:dyDescent="0.2">
      <c r="F1109" s="6"/>
    </row>
    <row r="1110" spans="6:6" x14ac:dyDescent="0.2">
      <c r="F1110" s="6"/>
    </row>
    <row r="1111" spans="6:6" x14ac:dyDescent="0.2">
      <c r="F1111" s="6"/>
    </row>
    <row r="1112" spans="6:6" x14ac:dyDescent="0.2">
      <c r="F1112" s="6"/>
    </row>
    <row r="1113" spans="6:6" x14ac:dyDescent="0.2">
      <c r="F1113" s="6"/>
    </row>
    <row r="1114" spans="6:6" x14ac:dyDescent="0.2">
      <c r="F1114" s="6"/>
    </row>
    <row r="1115" spans="6:6" x14ac:dyDescent="0.2">
      <c r="F1115" s="6"/>
    </row>
    <row r="1116" spans="6:6" x14ac:dyDescent="0.2">
      <c r="F1116" s="6"/>
    </row>
    <row r="1117" spans="6:6" x14ac:dyDescent="0.2">
      <c r="F1117" s="6"/>
    </row>
    <row r="1118" spans="6:6" x14ac:dyDescent="0.2">
      <c r="F1118" s="6"/>
    </row>
    <row r="1119" spans="6:6" x14ac:dyDescent="0.2">
      <c r="F1119" s="6"/>
    </row>
    <row r="1120" spans="6:6" x14ac:dyDescent="0.2">
      <c r="F1120" s="6"/>
    </row>
    <row r="1121" spans="6:6" x14ac:dyDescent="0.2">
      <c r="F1121" s="6"/>
    </row>
    <row r="1122" spans="6:6" x14ac:dyDescent="0.2">
      <c r="F1122" s="6"/>
    </row>
    <row r="1123" spans="6:6" x14ac:dyDescent="0.2">
      <c r="F1123" s="6"/>
    </row>
    <row r="1124" spans="6:6" x14ac:dyDescent="0.2">
      <c r="F1124" s="6"/>
    </row>
    <row r="1125" spans="6:6" x14ac:dyDescent="0.2">
      <c r="F1125" s="6"/>
    </row>
    <row r="1126" spans="6:6" x14ac:dyDescent="0.2">
      <c r="F1126" s="6"/>
    </row>
    <row r="1127" spans="6:6" x14ac:dyDescent="0.2">
      <c r="F1127" s="6"/>
    </row>
    <row r="1128" spans="6:6" x14ac:dyDescent="0.2">
      <c r="F1128" s="6"/>
    </row>
    <row r="1129" spans="6:6" x14ac:dyDescent="0.2">
      <c r="F1129" s="6"/>
    </row>
    <row r="1130" spans="6:6" x14ac:dyDescent="0.2">
      <c r="F1130" s="6"/>
    </row>
    <row r="1131" spans="6:6" x14ac:dyDescent="0.2">
      <c r="F1131" s="6"/>
    </row>
    <row r="1132" spans="6:6" x14ac:dyDescent="0.2">
      <c r="F1132" s="6"/>
    </row>
    <row r="1133" spans="6:6" x14ac:dyDescent="0.2">
      <c r="F1133" s="6"/>
    </row>
    <row r="1134" spans="6:6" x14ac:dyDescent="0.2">
      <c r="F1134" s="6"/>
    </row>
    <row r="1135" spans="6:6" x14ac:dyDescent="0.2">
      <c r="F1135" s="6"/>
    </row>
    <row r="1136" spans="6:6" x14ac:dyDescent="0.2">
      <c r="F1136" s="6"/>
    </row>
    <row r="1137" spans="6:6" x14ac:dyDescent="0.2">
      <c r="F1137" s="6"/>
    </row>
    <row r="1138" spans="6:6" x14ac:dyDescent="0.2">
      <c r="F1138" s="6"/>
    </row>
    <row r="1139" spans="6:6" x14ac:dyDescent="0.2">
      <c r="F1139" s="6"/>
    </row>
    <row r="1140" spans="6:6" x14ac:dyDescent="0.2">
      <c r="F1140" s="6"/>
    </row>
    <row r="1141" spans="6:6" x14ac:dyDescent="0.2">
      <c r="F1141" s="6"/>
    </row>
    <row r="1142" spans="6:6" x14ac:dyDescent="0.2">
      <c r="F1142" s="6"/>
    </row>
    <row r="1143" spans="6:6" x14ac:dyDescent="0.2">
      <c r="F1143" s="6"/>
    </row>
    <row r="1144" spans="6:6" x14ac:dyDescent="0.2">
      <c r="F1144" s="6"/>
    </row>
    <row r="1145" spans="6:6" x14ac:dyDescent="0.2">
      <c r="F1145" s="6"/>
    </row>
    <row r="1146" spans="6:6" x14ac:dyDescent="0.2">
      <c r="F1146" s="6"/>
    </row>
    <row r="1147" spans="6:6" x14ac:dyDescent="0.2">
      <c r="F1147" s="6"/>
    </row>
    <row r="1148" spans="6:6" x14ac:dyDescent="0.2">
      <c r="F1148" s="6"/>
    </row>
    <row r="1149" spans="6:6" x14ac:dyDescent="0.2">
      <c r="F1149" s="6"/>
    </row>
    <row r="1150" spans="6:6" x14ac:dyDescent="0.2">
      <c r="F1150" s="6"/>
    </row>
    <row r="1151" spans="6:6" x14ac:dyDescent="0.2">
      <c r="F1151" s="6"/>
    </row>
    <row r="1152" spans="6:6" x14ac:dyDescent="0.2">
      <c r="F1152" s="6"/>
    </row>
    <row r="1153" spans="6:6" x14ac:dyDescent="0.2">
      <c r="F1153" s="6"/>
    </row>
    <row r="1154" spans="6:6" x14ac:dyDescent="0.2">
      <c r="F1154" s="6"/>
    </row>
    <row r="1155" spans="6:6" x14ac:dyDescent="0.2">
      <c r="F1155" s="6"/>
    </row>
    <row r="1156" spans="6:6" x14ac:dyDescent="0.2">
      <c r="F1156" s="6"/>
    </row>
    <row r="1157" spans="6:6" x14ac:dyDescent="0.2">
      <c r="F1157" s="6"/>
    </row>
    <row r="1158" spans="6:6" x14ac:dyDescent="0.2">
      <c r="F1158" s="6"/>
    </row>
    <row r="1159" spans="6:6" x14ac:dyDescent="0.2">
      <c r="F1159" s="6"/>
    </row>
    <row r="1160" spans="6:6" x14ac:dyDescent="0.2">
      <c r="F1160" s="6"/>
    </row>
    <row r="1161" spans="6:6" x14ac:dyDescent="0.2">
      <c r="F1161" s="6"/>
    </row>
    <row r="1162" spans="6:6" x14ac:dyDescent="0.2">
      <c r="F1162" s="6"/>
    </row>
    <row r="1163" spans="6:6" x14ac:dyDescent="0.2">
      <c r="F1163" s="6"/>
    </row>
    <row r="1164" spans="6:6" x14ac:dyDescent="0.2">
      <c r="F1164" s="6"/>
    </row>
    <row r="1165" spans="6:6" x14ac:dyDescent="0.2">
      <c r="F1165" s="6"/>
    </row>
    <row r="1166" spans="6:6" x14ac:dyDescent="0.2">
      <c r="F1166" s="6"/>
    </row>
    <row r="1167" spans="6:6" x14ac:dyDescent="0.2">
      <c r="F1167" s="6"/>
    </row>
    <row r="1168" spans="6:6" x14ac:dyDescent="0.2">
      <c r="F1168" s="6"/>
    </row>
    <row r="1169" spans="6:6" x14ac:dyDescent="0.2">
      <c r="F1169" s="6"/>
    </row>
    <row r="1170" spans="6:6" x14ac:dyDescent="0.2">
      <c r="F1170" s="6"/>
    </row>
    <row r="1171" spans="6:6" x14ac:dyDescent="0.2">
      <c r="F1171" s="6"/>
    </row>
    <row r="1172" spans="6:6" x14ac:dyDescent="0.2">
      <c r="F1172" s="6"/>
    </row>
    <row r="1173" spans="6:6" x14ac:dyDescent="0.2">
      <c r="F1173" s="6"/>
    </row>
    <row r="1174" spans="6:6" x14ac:dyDescent="0.2">
      <c r="F1174" s="6"/>
    </row>
    <row r="1175" spans="6:6" x14ac:dyDescent="0.2">
      <c r="F1175" s="6"/>
    </row>
    <row r="1176" spans="6:6" x14ac:dyDescent="0.2">
      <c r="F1176" s="6"/>
    </row>
    <row r="1177" spans="6:6" x14ac:dyDescent="0.2">
      <c r="F1177" s="6"/>
    </row>
    <row r="1178" spans="6:6" x14ac:dyDescent="0.2">
      <c r="F1178" s="6"/>
    </row>
    <row r="1179" spans="6:6" x14ac:dyDescent="0.2">
      <c r="F1179" s="6"/>
    </row>
    <row r="1180" spans="6:6" x14ac:dyDescent="0.2">
      <c r="F1180" s="6"/>
    </row>
    <row r="1181" spans="6:6" x14ac:dyDescent="0.2">
      <c r="F1181" s="6"/>
    </row>
    <row r="1182" spans="6:6" x14ac:dyDescent="0.2">
      <c r="F1182" s="6"/>
    </row>
    <row r="1183" spans="6:6" x14ac:dyDescent="0.2">
      <c r="F1183" s="6"/>
    </row>
    <row r="1184" spans="6:6" x14ac:dyDescent="0.2">
      <c r="F1184" s="6"/>
    </row>
    <row r="1185" spans="6:6" x14ac:dyDescent="0.2">
      <c r="F1185" s="6"/>
    </row>
    <row r="1186" spans="6:6" x14ac:dyDescent="0.2">
      <c r="F1186" s="6"/>
    </row>
    <row r="1187" spans="6:6" x14ac:dyDescent="0.2">
      <c r="F1187" s="6"/>
    </row>
    <row r="1188" spans="6:6" x14ac:dyDescent="0.2">
      <c r="F1188" s="6"/>
    </row>
    <row r="1189" spans="6:6" x14ac:dyDescent="0.2">
      <c r="F1189" s="6"/>
    </row>
    <row r="1190" spans="6:6" x14ac:dyDescent="0.2">
      <c r="F1190" s="6"/>
    </row>
    <row r="1191" spans="6:6" x14ac:dyDescent="0.2">
      <c r="F1191" s="6"/>
    </row>
    <row r="1192" spans="6:6" x14ac:dyDescent="0.2">
      <c r="F1192" s="6"/>
    </row>
    <row r="1193" spans="6:6" x14ac:dyDescent="0.2">
      <c r="F1193" s="6"/>
    </row>
    <row r="1194" spans="6:6" x14ac:dyDescent="0.2">
      <c r="F1194" s="6"/>
    </row>
    <row r="1195" spans="6:6" x14ac:dyDescent="0.2">
      <c r="F1195" s="6"/>
    </row>
    <row r="1196" spans="6:6" x14ac:dyDescent="0.2">
      <c r="F1196" s="6"/>
    </row>
    <row r="1197" spans="6:6" x14ac:dyDescent="0.2">
      <c r="F1197" s="6"/>
    </row>
    <row r="1198" spans="6:6" x14ac:dyDescent="0.2">
      <c r="F1198" s="6"/>
    </row>
    <row r="1199" spans="6:6" x14ac:dyDescent="0.2">
      <c r="F1199" s="6"/>
    </row>
    <row r="1200" spans="6:6" x14ac:dyDescent="0.2">
      <c r="F1200" s="6"/>
    </row>
    <row r="1201" spans="6:6" x14ac:dyDescent="0.2">
      <c r="F1201" s="6"/>
    </row>
    <row r="1202" spans="6:6" x14ac:dyDescent="0.2">
      <c r="F1202" s="6"/>
    </row>
    <row r="1203" spans="6:6" x14ac:dyDescent="0.2">
      <c r="F1203" s="6"/>
    </row>
    <row r="1204" spans="6:6" x14ac:dyDescent="0.2">
      <c r="F1204" s="6"/>
    </row>
    <row r="1205" spans="6:6" x14ac:dyDescent="0.2">
      <c r="F1205" s="6"/>
    </row>
    <row r="1206" spans="6:6" x14ac:dyDescent="0.2">
      <c r="F1206" s="6"/>
    </row>
    <row r="1207" spans="6:6" x14ac:dyDescent="0.2">
      <c r="F1207" s="6"/>
    </row>
    <row r="1208" spans="6:6" x14ac:dyDescent="0.2">
      <c r="F1208" s="6"/>
    </row>
    <row r="1209" spans="6:6" x14ac:dyDescent="0.2">
      <c r="F1209" s="6"/>
    </row>
    <row r="1210" spans="6:6" x14ac:dyDescent="0.2">
      <c r="F1210" s="6"/>
    </row>
    <row r="1211" spans="6:6" x14ac:dyDescent="0.2">
      <c r="F1211" s="6"/>
    </row>
    <row r="1212" spans="6:6" x14ac:dyDescent="0.2">
      <c r="F1212" s="6"/>
    </row>
    <row r="1213" spans="6:6" x14ac:dyDescent="0.2">
      <c r="F1213" s="6"/>
    </row>
    <row r="1214" spans="6:6" x14ac:dyDescent="0.2">
      <c r="F1214" s="6"/>
    </row>
    <row r="1215" spans="6:6" x14ac:dyDescent="0.2">
      <c r="F1215" s="6"/>
    </row>
    <row r="1216" spans="6:6" x14ac:dyDescent="0.2">
      <c r="F1216" s="6"/>
    </row>
    <row r="1217" spans="6:6" x14ac:dyDescent="0.2">
      <c r="F1217" s="6"/>
    </row>
    <row r="1218" spans="6:6" x14ac:dyDescent="0.2">
      <c r="F1218" s="6"/>
    </row>
    <row r="1219" spans="6:6" x14ac:dyDescent="0.2">
      <c r="F1219" s="6"/>
    </row>
    <row r="1220" spans="6:6" x14ac:dyDescent="0.2">
      <c r="F1220" s="6"/>
    </row>
    <row r="1221" spans="6:6" x14ac:dyDescent="0.2">
      <c r="F1221" s="6"/>
    </row>
    <row r="1222" spans="6:6" x14ac:dyDescent="0.2">
      <c r="F1222" s="6"/>
    </row>
    <row r="1223" spans="6:6" x14ac:dyDescent="0.2">
      <c r="F1223" s="6"/>
    </row>
    <row r="1224" spans="6:6" x14ac:dyDescent="0.2">
      <c r="F1224" s="6"/>
    </row>
    <row r="1225" spans="6:6" x14ac:dyDescent="0.2">
      <c r="F1225" s="6"/>
    </row>
    <row r="1226" spans="6:6" x14ac:dyDescent="0.2">
      <c r="F1226" s="6"/>
    </row>
    <row r="1227" spans="6:6" x14ac:dyDescent="0.2">
      <c r="F1227" s="6"/>
    </row>
    <row r="1228" spans="6:6" x14ac:dyDescent="0.2">
      <c r="F1228" s="6"/>
    </row>
    <row r="1229" spans="6:6" x14ac:dyDescent="0.2">
      <c r="F1229" s="6"/>
    </row>
    <row r="1230" spans="6:6" x14ac:dyDescent="0.2">
      <c r="F1230" s="6"/>
    </row>
    <row r="1231" spans="6:6" x14ac:dyDescent="0.2">
      <c r="F1231" s="6"/>
    </row>
    <row r="1232" spans="6:6" x14ac:dyDescent="0.2">
      <c r="F1232" s="6"/>
    </row>
    <row r="1233" spans="6:6" x14ac:dyDescent="0.2">
      <c r="F1233" s="6"/>
    </row>
    <row r="1234" spans="6:6" x14ac:dyDescent="0.2">
      <c r="F1234" s="6"/>
    </row>
    <row r="1235" spans="6:6" x14ac:dyDescent="0.2">
      <c r="F1235" s="6"/>
    </row>
    <row r="1236" spans="6:6" x14ac:dyDescent="0.2">
      <c r="F1236" s="6"/>
    </row>
    <row r="1237" spans="6:6" x14ac:dyDescent="0.2">
      <c r="F1237" s="6"/>
    </row>
    <row r="1238" spans="6:6" x14ac:dyDescent="0.2">
      <c r="F1238" s="6"/>
    </row>
    <row r="1239" spans="6:6" x14ac:dyDescent="0.2">
      <c r="F1239" s="6"/>
    </row>
    <row r="1240" spans="6:6" x14ac:dyDescent="0.2">
      <c r="F1240" s="6"/>
    </row>
    <row r="1241" spans="6:6" x14ac:dyDescent="0.2">
      <c r="F1241" s="6"/>
    </row>
    <row r="1242" spans="6:6" x14ac:dyDescent="0.2">
      <c r="F1242" s="6"/>
    </row>
    <row r="1243" spans="6:6" x14ac:dyDescent="0.2">
      <c r="F1243" s="6"/>
    </row>
    <row r="1244" spans="6:6" x14ac:dyDescent="0.2">
      <c r="F1244" s="6"/>
    </row>
    <row r="1245" spans="6:6" x14ac:dyDescent="0.2">
      <c r="F1245" s="6"/>
    </row>
    <row r="1246" spans="6:6" x14ac:dyDescent="0.2">
      <c r="F1246" s="6"/>
    </row>
    <row r="1247" spans="6:6" x14ac:dyDescent="0.2">
      <c r="F1247" s="6"/>
    </row>
    <row r="1248" spans="6:6" x14ac:dyDescent="0.2">
      <c r="F1248" s="6"/>
    </row>
    <row r="1249" spans="6:6" x14ac:dyDescent="0.2">
      <c r="F1249" s="6"/>
    </row>
    <row r="1250" spans="6:6" x14ac:dyDescent="0.2">
      <c r="F1250" s="6"/>
    </row>
    <row r="1251" spans="6:6" x14ac:dyDescent="0.2">
      <c r="F1251" s="6"/>
    </row>
    <row r="1252" spans="6:6" x14ac:dyDescent="0.2">
      <c r="F1252" s="6"/>
    </row>
    <row r="1253" spans="6:6" x14ac:dyDescent="0.2">
      <c r="F1253" s="6"/>
    </row>
    <row r="1254" spans="6:6" x14ac:dyDescent="0.2">
      <c r="F1254" s="6"/>
    </row>
    <row r="1255" spans="6:6" x14ac:dyDescent="0.2">
      <c r="F1255" s="6"/>
    </row>
    <row r="1256" spans="6:6" x14ac:dyDescent="0.2">
      <c r="F1256" s="6"/>
    </row>
    <row r="1257" spans="6:6" x14ac:dyDescent="0.2">
      <c r="F1257" s="6"/>
    </row>
    <row r="1258" spans="6:6" x14ac:dyDescent="0.2">
      <c r="F1258" s="6"/>
    </row>
    <row r="1259" spans="6:6" x14ac:dyDescent="0.2">
      <c r="F1259" s="6"/>
    </row>
    <row r="1260" spans="6:6" x14ac:dyDescent="0.2">
      <c r="F1260" s="6"/>
    </row>
    <row r="1261" spans="6:6" x14ac:dyDescent="0.2">
      <c r="F1261" s="6"/>
    </row>
    <row r="1262" spans="6:6" x14ac:dyDescent="0.2">
      <c r="F1262" s="6"/>
    </row>
    <row r="1263" spans="6:6" x14ac:dyDescent="0.2">
      <c r="F1263" s="6"/>
    </row>
    <row r="1264" spans="6:6" x14ac:dyDescent="0.2">
      <c r="F1264" s="6"/>
    </row>
    <row r="1265" spans="6:6" x14ac:dyDescent="0.2">
      <c r="F1265" s="6"/>
    </row>
    <row r="1266" spans="6:6" x14ac:dyDescent="0.2">
      <c r="F1266" s="6"/>
    </row>
    <row r="1267" spans="6:6" x14ac:dyDescent="0.2">
      <c r="F1267" s="6"/>
    </row>
    <row r="1268" spans="6:6" x14ac:dyDescent="0.2">
      <c r="F1268" s="6"/>
    </row>
    <row r="1269" spans="6:6" x14ac:dyDescent="0.2">
      <c r="F1269" s="6"/>
    </row>
    <row r="1270" spans="6:6" x14ac:dyDescent="0.2">
      <c r="F1270" s="6"/>
    </row>
    <row r="1271" spans="6:6" x14ac:dyDescent="0.2">
      <c r="F1271" s="6"/>
    </row>
    <row r="1272" spans="6:6" x14ac:dyDescent="0.2">
      <c r="F1272" s="6"/>
    </row>
    <row r="1273" spans="6:6" x14ac:dyDescent="0.2">
      <c r="F1273" s="6"/>
    </row>
    <row r="1274" spans="6:6" x14ac:dyDescent="0.2">
      <c r="F1274" s="6"/>
    </row>
    <row r="1275" spans="6:6" x14ac:dyDescent="0.2">
      <c r="F1275" s="6"/>
    </row>
    <row r="1276" spans="6:6" x14ac:dyDescent="0.2">
      <c r="F1276" s="6"/>
    </row>
    <row r="1277" spans="6:6" x14ac:dyDescent="0.2">
      <c r="F1277" s="6"/>
    </row>
    <row r="1278" spans="6:6" x14ac:dyDescent="0.2">
      <c r="F1278" s="6"/>
    </row>
    <row r="1279" spans="6:6" x14ac:dyDescent="0.2">
      <c r="F1279" s="6"/>
    </row>
    <row r="1280" spans="6:6" x14ac:dyDescent="0.2">
      <c r="F1280" s="6"/>
    </row>
    <row r="1281" spans="6:6" x14ac:dyDescent="0.2">
      <c r="F1281" s="6"/>
    </row>
    <row r="1282" spans="6:6" x14ac:dyDescent="0.2">
      <c r="F1282" s="6"/>
    </row>
    <row r="1283" spans="6:6" x14ac:dyDescent="0.2">
      <c r="F1283" s="6"/>
    </row>
    <row r="1284" spans="6:6" x14ac:dyDescent="0.2">
      <c r="F1284" s="6"/>
    </row>
    <row r="1285" spans="6:6" x14ac:dyDescent="0.2">
      <c r="F1285" s="6"/>
    </row>
    <row r="1286" spans="6:6" x14ac:dyDescent="0.2">
      <c r="F1286" s="6"/>
    </row>
    <row r="1287" spans="6:6" x14ac:dyDescent="0.2">
      <c r="F1287" s="6"/>
    </row>
    <row r="1288" spans="6:6" x14ac:dyDescent="0.2">
      <c r="F1288" s="6"/>
    </row>
    <row r="1289" spans="6:6" x14ac:dyDescent="0.2">
      <c r="F1289" s="6"/>
    </row>
    <row r="1290" spans="6:6" x14ac:dyDescent="0.2">
      <c r="F1290" s="6"/>
    </row>
    <row r="1291" spans="6:6" x14ac:dyDescent="0.2">
      <c r="F1291" s="6"/>
    </row>
    <row r="1292" spans="6:6" x14ac:dyDescent="0.2">
      <c r="F1292" s="6"/>
    </row>
    <row r="1293" spans="6:6" x14ac:dyDescent="0.2">
      <c r="F1293" s="6"/>
    </row>
    <row r="1294" spans="6:6" x14ac:dyDescent="0.2">
      <c r="F1294" s="6"/>
    </row>
    <row r="1295" spans="6:6" x14ac:dyDescent="0.2">
      <c r="F1295" s="6"/>
    </row>
    <row r="1296" spans="6:6" x14ac:dyDescent="0.2">
      <c r="F1296" s="6"/>
    </row>
    <row r="1297" spans="6:6" x14ac:dyDescent="0.2">
      <c r="F1297" s="6"/>
    </row>
    <row r="1298" spans="6:6" x14ac:dyDescent="0.2">
      <c r="F1298" s="6"/>
    </row>
    <row r="1299" spans="6:6" x14ac:dyDescent="0.2">
      <c r="F1299" s="6"/>
    </row>
    <row r="1300" spans="6:6" x14ac:dyDescent="0.2">
      <c r="F1300" s="6"/>
    </row>
    <row r="1301" spans="6:6" x14ac:dyDescent="0.2">
      <c r="F1301" s="6"/>
    </row>
    <row r="1302" spans="6:6" x14ac:dyDescent="0.2">
      <c r="F1302" s="6"/>
    </row>
    <row r="1303" spans="6:6" x14ac:dyDescent="0.2">
      <c r="F1303" s="6"/>
    </row>
    <row r="1304" spans="6:6" x14ac:dyDescent="0.2">
      <c r="F1304" s="6"/>
    </row>
    <row r="1305" spans="6:6" x14ac:dyDescent="0.2">
      <c r="F1305" s="6"/>
    </row>
    <row r="1306" spans="6:6" x14ac:dyDescent="0.2">
      <c r="F1306" s="6"/>
    </row>
    <row r="1307" spans="6:6" x14ac:dyDescent="0.2">
      <c r="F1307" s="6"/>
    </row>
    <row r="1308" spans="6:6" x14ac:dyDescent="0.2">
      <c r="F1308" s="6"/>
    </row>
    <row r="1309" spans="6:6" x14ac:dyDescent="0.2">
      <c r="F1309" s="6"/>
    </row>
    <row r="1310" spans="6:6" x14ac:dyDescent="0.2">
      <c r="F1310" s="6"/>
    </row>
    <row r="1311" spans="6:6" x14ac:dyDescent="0.2">
      <c r="F1311" s="6"/>
    </row>
    <row r="1312" spans="6:6" x14ac:dyDescent="0.2">
      <c r="F1312" s="6"/>
    </row>
    <row r="1313" spans="6:6" x14ac:dyDescent="0.2">
      <c r="F1313" s="6"/>
    </row>
    <row r="1314" spans="6:6" x14ac:dyDescent="0.2">
      <c r="F1314" s="6"/>
    </row>
    <row r="1315" spans="6:6" x14ac:dyDescent="0.2">
      <c r="F1315" s="6"/>
    </row>
    <row r="1316" spans="6:6" x14ac:dyDescent="0.2">
      <c r="F1316" s="6"/>
    </row>
    <row r="1317" spans="6:6" x14ac:dyDescent="0.2">
      <c r="F1317" s="6"/>
    </row>
    <row r="1318" spans="6:6" x14ac:dyDescent="0.2">
      <c r="F1318" s="6"/>
    </row>
    <row r="1319" spans="6:6" x14ac:dyDescent="0.2">
      <c r="F1319" s="6"/>
    </row>
    <row r="1320" spans="6:6" x14ac:dyDescent="0.2">
      <c r="F1320" s="6"/>
    </row>
    <row r="1321" spans="6:6" x14ac:dyDescent="0.2">
      <c r="F1321" s="6"/>
    </row>
    <row r="1322" spans="6:6" x14ac:dyDescent="0.2">
      <c r="F1322" s="6"/>
    </row>
    <row r="1323" spans="6:6" x14ac:dyDescent="0.2">
      <c r="F1323" s="6"/>
    </row>
    <row r="1324" spans="6:6" x14ac:dyDescent="0.2">
      <c r="F1324" s="6"/>
    </row>
    <row r="1325" spans="6:6" x14ac:dyDescent="0.2">
      <c r="F1325" s="6"/>
    </row>
    <row r="1326" spans="6:6" x14ac:dyDescent="0.2">
      <c r="F1326" s="6"/>
    </row>
    <row r="1327" spans="6:6" x14ac:dyDescent="0.2">
      <c r="F1327" s="6"/>
    </row>
    <row r="1328" spans="6:6" x14ac:dyDescent="0.2">
      <c r="F1328" s="6"/>
    </row>
    <row r="1329" spans="6:6" x14ac:dyDescent="0.2">
      <c r="F1329" s="6"/>
    </row>
    <row r="1330" spans="6:6" x14ac:dyDescent="0.2">
      <c r="F1330" s="6"/>
    </row>
    <row r="1331" spans="6:6" x14ac:dyDescent="0.2">
      <c r="F1331" s="6"/>
    </row>
    <row r="1332" spans="6:6" x14ac:dyDescent="0.2">
      <c r="F1332" s="6"/>
    </row>
    <row r="1333" spans="6:6" x14ac:dyDescent="0.2">
      <c r="F1333" s="6"/>
    </row>
    <row r="1334" spans="6:6" x14ac:dyDescent="0.2">
      <c r="F1334" s="6"/>
    </row>
    <row r="1335" spans="6:6" x14ac:dyDescent="0.2">
      <c r="F1335" s="6"/>
    </row>
    <row r="1336" spans="6:6" x14ac:dyDescent="0.2">
      <c r="F1336" s="6"/>
    </row>
    <row r="1337" spans="6:6" x14ac:dyDescent="0.2">
      <c r="F1337" s="6"/>
    </row>
    <row r="1338" spans="6:6" x14ac:dyDescent="0.2">
      <c r="F1338" s="6"/>
    </row>
    <row r="1339" spans="6:6" x14ac:dyDescent="0.2">
      <c r="F1339" s="6"/>
    </row>
    <row r="1340" spans="6:6" x14ac:dyDescent="0.2">
      <c r="F1340" s="6"/>
    </row>
    <row r="1341" spans="6:6" x14ac:dyDescent="0.2">
      <c r="F1341" s="6"/>
    </row>
    <row r="1342" spans="6:6" x14ac:dyDescent="0.2">
      <c r="F1342" s="6"/>
    </row>
    <row r="1343" spans="6:6" x14ac:dyDescent="0.2">
      <c r="F1343" s="6"/>
    </row>
    <row r="1344" spans="6:6" x14ac:dyDescent="0.2">
      <c r="F1344" s="6"/>
    </row>
    <row r="1345" spans="6:6" x14ac:dyDescent="0.2">
      <c r="F1345" s="6"/>
    </row>
    <row r="1346" spans="6:6" x14ac:dyDescent="0.2">
      <c r="F1346" s="6"/>
    </row>
    <row r="1347" spans="6:6" x14ac:dyDescent="0.2">
      <c r="F1347" s="6"/>
    </row>
    <row r="1348" spans="6:6" x14ac:dyDescent="0.2">
      <c r="F1348" s="6"/>
    </row>
    <row r="1349" spans="6:6" x14ac:dyDescent="0.2">
      <c r="F1349" s="6"/>
    </row>
    <row r="1350" spans="6:6" x14ac:dyDescent="0.2">
      <c r="F1350" s="6"/>
    </row>
    <row r="1351" spans="6:6" x14ac:dyDescent="0.2">
      <c r="F1351" s="6"/>
    </row>
    <row r="1352" spans="6:6" x14ac:dyDescent="0.2">
      <c r="F1352" s="6"/>
    </row>
    <row r="1353" spans="6:6" x14ac:dyDescent="0.2">
      <c r="F1353" s="6"/>
    </row>
    <row r="1354" spans="6:6" x14ac:dyDescent="0.2">
      <c r="F1354" s="6"/>
    </row>
    <row r="1355" spans="6:6" x14ac:dyDescent="0.2">
      <c r="F1355" s="6"/>
    </row>
    <row r="1356" spans="6:6" x14ac:dyDescent="0.2">
      <c r="F1356" s="6"/>
    </row>
    <row r="1357" spans="6:6" x14ac:dyDescent="0.2">
      <c r="F1357" s="6"/>
    </row>
    <row r="1358" spans="6:6" x14ac:dyDescent="0.2">
      <c r="F1358" s="6"/>
    </row>
    <row r="1359" spans="6:6" x14ac:dyDescent="0.2">
      <c r="F1359" s="6"/>
    </row>
    <row r="1360" spans="6:6" x14ac:dyDescent="0.2">
      <c r="F1360" s="6"/>
    </row>
    <row r="1361" spans="6:6" x14ac:dyDescent="0.2">
      <c r="F1361" s="6"/>
    </row>
    <row r="1362" spans="6:6" x14ac:dyDescent="0.2">
      <c r="F1362" s="6"/>
    </row>
    <row r="1363" spans="6:6" x14ac:dyDescent="0.2">
      <c r="F1363" s="6"/>
    </row>
    <row r="1364" spans="6:6" x14ac:dyDescent="0.2">
      <c r="F1364" s="6"/>
    </row>
    <row r="1365" spans="6:6" x14ac:dyDescent="0.2">
      <c r="F1365" s="6"/>
    </row>
    <row r="1366" spans="6:6" x14ac:dyDescent="0.2">
      <c r="F1366" s="6"/>
    </row>
    <row r="1367" spans="6:6" x14ac:dyDescent="0.2">
      <c r="F1367" s="6"/>
    </row>
    <row r="1368" spans="6:6" x14ac:dyDescent="0.2">
      <c r="F1368" s="6"/>
    </row>
    <row r="1369" spans="6:6" x14ac:dyDescent="0.2">
      <c r="F1369" s="6"/>
    </row>
    <row r="1370" spans="6:6" x14ac:dyDescent="0.2">
      <c r="F1370" s="6"/>
    </row>
    <row r="1371" spans="6:6" x14ac:dyDescent="0.2">
      <c r="F1371" s="6"/>
    </row>
    <row r="1372" spans="6:6" x14ac:dyDescent="0.2">
      <c r="F1372" s="6"/>
    </row>
    <row r="1373" spans="6:6" x14ac:dyDescent="0.2">
      <c r="F1373" s="6"/>
    </row>
    <row r="1374" spans="6:6" x14ac:dyDescent="0.2">
      <c r="F1374" s="6"/>
    </row>
    <row r="1375" spans="6:6" x14ac:dyDescent="0.2">
      <c r="F1375" s="6"/>
    </row>
    <row r="1376" spans="6:6" x14ac:dyDescent="0.2">
      <c r="F1376" s="6"/>
    </row>
    <row r="1377" spans="6:6" x14ac:dyDescent="0.2">
      <c r="F1377" s="6"/>
    </row>
    <row r="1378" spans="6:6" x14ac:dyDescent="0.2">
      <c r="F1378" s="6"/>
    </row>
    <row r="1379" spans="6:6" x14ac:dyDescent="0.2">
      <c r="F1379" s="6"/>
    </row>
    <row r="1380" spans="6:6" x14ac:dyDescent="0.2">
      <c r="F1380" s="6"/>
    </row>
    <row r="1381" spans="6:6" x14ac:dyDescent="0.2">
      <c r="F1381" s="6"/>
    </row>
    <row r="1382" spans="6:6" x14ac:dyDescent="0.2">
      <c r="F1382" s="6"/>
    </row>
    <row r="1383" spans="6:6" x14ac:dyDescent="0.2">
      <c r="F1383" s="6"/>
    </row>
    <row r="1384" spans="6:6" x14ac:dyDescent="0.2">
      <c r="F1384" s="6"/>
    </row>
    <row r="1385" spans="6:6" x14ac:dyDescent="0.2">
      <c r="F1385" s="6"/>
    </row>
    <row r="1386" spans="6:6" x14ac:dyDescent="0.2">
      <c r="F1386" s="6"/>
    </row>
    <row r="1387" spans="6:6" x14ac:dyDescent="0.2">
      <c r="F1387" s="6"/>
    </row>
    <row r="1388" spans="6:6" x14ac:dyDescent="0.2">
      <c r="F1388" s="6"/>
    </row>
    <row r="1389" spans="6:6" x14ac:dyDescent="0.2">
      <c r="F1389" s="6"/>
    </row>
    <row r="1390" spans="6:6" x14ac:dyDescent="0.2">
      <c r="F1390" s="6"/>
    </row>
    <row r="1391" spans="6:6" x14ac:dyDescent="0.2">
      <c r="F1391" s="6"/>
    </row>
    <row r="1392" spans="6:6" x14ac:dyDescent="0.2">
      <c r="F1392" s="6"/>
    </row>
    <row r="1393" spans="6:6" x14ac:dyDescent="0.2">
      <c r="F1393" s="6"/>
    </row>
    <row r="1394" spans="6:6" x14ac:dyDescent="0.2">
      <c r="F1394" s="6"/>
    </row>
    <row r="1395" spans="6:6" x14ac:dyDescent="0.2">
      <c r="F1395" s="6"/>
    </row>
    <row r="1396" spans="6:6" x14ac:dyDescent="0.2">
      <c r="F1396" s="6"/>
    </row>
    <row r="1397" spans="6:6" x14ac:dyDescent="0.2">
      <c r="F1397" s="6"/>
    </row>
    <row r="1398" spans="6:6" x14ac:dyDescent="0.2">
      <c r="F1398" s="6"/>
    </row>
    <row r="1399" spans="6:6" x14ac:dyDescent="0.2">
      <c r="F1399" s="6"/>
    </row>
    <row r="1400" spans="6:6" x14ac:dyDescent="0.2">
      <c r="F1400" s="6"/>
    </row>
    <row r="1401" spans="6:6" x14ac:dyDescent="0.2">
      <c r="F1401" s="6"/>
    </row>
    <row r="1402" spans="6:6" x14ac:dyDescent="0.2">
      <c r="F1402" s="6"/>
    </row>
    <row r="1403" spans="6:6" x14ac:dyDescent="0.2">
      <c r="F1403" s="6"/>
    </row>
    <row r="1404" spans="6:6" x14ac:dyDescent="0.2">
      <c r="F1404" s="6"/>
    </row>
    <row r="1405" spans="6:6" x14ac:dyDescent="0.2">
      <c r="F1405" s="6"/>
    </row>
    <row r="1406" spans="6:6" x14ac:dyDescent="0.2">
      <c r="F1406" s="6"/>
    </row>
    <row r="1407" spans="6:6" x14ac:dyDescent="0.2">
      <c r="F1407" s="6"/>
    </row>
    <row r="1408" spans="6:6" x14ac:dyDescent="0.2">
      <c r="F1408" s="6"/>
    </row>
    <row r="1409" spans="6:6" x14ac:dyDescent="0.2">
      <c r="F1409" s="6"/>
    </row>
    <row r="1410" spans="6:6" x14ac:dyDescent="0.2">
      <c r="F1410" s="6"/>
    </row>
    <row r="1411" spans="6:6" x14ac:dyDescent="0.2">
      <c r="F1411" s="6"/>
    </row>
    <row r="1412" spans="6:6" x14ac:dyDescent="0.2">
      <c r="F1412" s="6"/>
    </row>
    <row r="1413" spans="6:6" x14ac:dyDescent="0.2">
      <c r="F1413" s="6"/>
    </row>
    <row r="1414" spans="6:6" x14ac:dyDescent="0.2">
      <c r="F1414" s="6"/>
    </row>
    <row r="1415" spans="6:6" x14ac:dyDescent="0.2">
      <c r="F1415" s="6"/>
    </row>
    <row r="1416" spans="6:6" x14ac:dyDescent="0.2">
      <c r="F1416" s="6"/>
    </row>
    <row r="1417" spans="6:6" x14ac:dyDescent="0.2">
      <c r="F1417" s="6"/>
    </row>
    <row r="1418" spans="6:6" x14ac:dyDescent="0.2">
      <c r="F1418" s="6"/>
    </row>
    <row r="1419" spans="6:6" x14ac:dyDescent="0.2">
      <c r="F1419" s="6"/>
    </row>
    <row r="1420" spans="6:6" x14ac:dyDescent="0.2">
      <c r="F1420" s="6"/>
    </row>
    <row r="1421" spans="6:6" x14ac:dyDescent="0.2">
      <c r="F1421" s="6"/>
    </row>
    <row r="1422" spans="6:6" x14ac:dyDescent="0.2">
      <c r="F1422" s="6"/>
    </row>
    <row r="1423" spans="6:6" x14ac:dyDescent="0.2">
      <c r="F1423" s="6"/>
    </row>
    <row r="1424" spans="6:6" x14ac:dyDescent="0.2">
      <c r="F1424" s="6"/>
    </row>
    <row r="1425" spans="6:6" x14ac:dyDescent="0.2">
      <c r="F1425" s="6"/>
    </row>
    <row r="1426" spans="6:6" x14ac:dyDescent="0.2">
      <c r="F1426" s="6"/>
    </row>
    <row r="1427" spans="6:6" x14ac:dyDescent="0.2">
      <c r="F1427" s="6"/>
    </row>
    <row r="1428" spans="6:6" x14ac:dyDescent="0.2">
      <c r="F1428" s="6"/>
    </row>
    <row r="1429" spans="6:6" x14ac:dyDescent="0.2">
      <c r="F1429" s="6"/>
    </row>
    <row r="1430" spans="6:6" x14ac:dyDescent="0.2">
      <c r="F1430" s="6"/>
    </row>
    <row r="1431" spans="6:6" x14ac:dyDescent="0.2">
      <c r="F1431" s="6"/>
    </row>
    <row r="1432" spans="6:6" x14ac:dyDescent="0.2">
      <c r="F1432" s="6"/>
    </row>
    <row r="1433" spans="6:6" x14ac:dyDescent="0.2">
      <c r="F1433" s="6"/>
    </row>
    <row r="1434" spans="6:6" x14ac:dyDescent="0.2">
      <c r="F1434" s="6"/>
    </row>
    <row r="1435" spans="6:6" x14ac:dyDescent="0.2">
      <c r="F1435" s="6"/>
    </row>
    <row r="1436" spans="6:6" x14ac:dyDescent="0.2">
      <c r="F1436" s="6"/>
    </row>
    <row r="1437" spans="6:6" x14ac:dyDescent="0.2">
      <c r="F1437" s="6"/>
    </row>
    <row r="1438" spans="6:6" x14ac:dyDescent="0.2">
      <c r="F1438" s="6"/>
    </row>
    <row r="1439" spans="6:6" x14ac:dyDescent="0.2">
      <c r="F1439" s="6"/>
    </row>
    <row r="1440" spans="6:6" x14ac:dyDescent="0.2">
      <c r="F1440" s="6"/>
    </row>
    <row r="1441" spans="6:6" x14ac:dyDescent="0.2">
      <c r="F1441" s="6"/>
    </row>
    <row r="1442" spans="6:6" x14ac:dyDescent="0.2">
      <c r="F1442" s="6"/>
    </row>
    <row r="1443" spans="6:6" x14ac:dyDescent="0.2">
      <c r="F1443" s="6"/>
    </row>
    <row r="1444" spans="6:6" x14ac:dyDescent="0.2">
      <c r="F1444" s="6"/>
    </row>
    <row r="1445" spans="6:6" x14ac:dyDescent="0.2">
      <c r="F1445" s="6"/>
    </row>
    <row r="1446" spans="6:6" x14ac:dyDescent="0.2">
      <c r="F1446" s="6"/>
    </row>
    <row r="1447" spans="6:6" x14ac:dyDescent="0.2">
      <c r="F1447" s="6"/>
    </row>
    <row r="1448" spans="6:6" x14ac:dyDescent="0.2">
      <c r="F1448" s="6"/>
    </row>
    <row r="1449" spans="6:6" x14ac:dyDescent="0.2">
      <c r="F1449" s="6"/>
    </row>
    <row r="1450" spans="6:6" x14ac:dyDescent="0.2">
      <c r="F1450" s="6"/>
    </row>
    <row r="1451" spans="6:6" x14ac:dyDescent="0.2">
      <c r="F1451" s="6"/>
    </row>
    <row r="1452" spans="6:6" x14ac:dyDescent="0.2">
      <c r="F1452" s="6"/>
    </row>
    <row r="1453" spans="6:6" x14ac:dyDescent="0.2">
      <c r="F1453" s="6"/>
    </row>
    <row r="1454" spans="6:6" x14ac:dyDescent="0.2">
      <c r="F1454" s="6"/>
    </row>
    <row r="1455" spans="6:6" x14ac:dyDescent="0.2">
      <c r="F1455" s="6"/>
    </row>
    <row r="1456" spans="6:6" x14ac:dyDescent="0.2">
      <c r="F1456" s="6"/>
    </row>
    <row r="1457" spans="6:6" x14ac:dyDescent="0.2">
      <c r="F1457" s="6"/>
    </row>
    <row r="1458" spans="6:6" x14ac:dyDescent="0.2">
      <c r="F1458" s="6"/>
    </row>
    <row r="1459" spans="6:6" x14ac:dyDescent="0.2">
      <c r="F1459" s="6"/>
    </row>
    <row r="1460" spans="6:6" x14ac:dyDescent="0.2">
      <c r="F1460" s="6"/>
    </row>
    <row r="1461" spans="6:6" x14ac:dyDescent="0.2">
      <c r="F1461" s="6"/>
    </row>
    <row r="1462" spans="6:6" x14ac:dyDescent="0.2">
      <c r="F1462" s="6"/>
    </row>
    <row r="1463" spans="6:6" x14ac:dyDescent="0.2">
      <c r="F1463" s="6"/>
    </row>
    <row r="1464" spans="6:6" x14ac:dyDescent="0.2">
      <c r="F1464" s="6"/>
    </row>
    <row r="1465" spans="6:6" x14ac:dyDescent="0.2">
      <c r="F1465" s="6"/>
    </row>
    <row r="1466" spans="6:6" x14ac:dyDescent="0.2">
      <c r="F1466" s="6"/>
    </row>
    <row r="1467" spans="6:6" x14ac:dyDescent="0.2">
      <c r="F1467" s="6"/>
    </row>
    <row r="1468" spans="6:6" x14ac:dyDescent="0.2">
      <c r="F1468" s="6"/>
    </row>
    <row r="1469" spans="6:6" x14ac:dyDescent="0.2">
      <c r="F1469" s="6"/>
    </row>
    <row r="1470" spans="6:6" x14ac:dyDescent="0.2">
      <c r="F1470" s="6"/>
    </row>
    <row r="1471" spans="6:6" x14ac:dyDescent="0.2">
      <c r="F1471" s="6"/>
    </row>
    <row r="1472" spans="6:6" x14ac:dyDescent="0.2">
      <c r="F1472" s="6"/>
    </row>
    <row r="1473" spans="6:6" x14ac:dyDescent="0.2">
      <c r="F1473" s="6"/>
    </row>
    <row r="1474" spans="6:6" x14ac:dyDescent="0.2">
      <c r="F1474" s="6"/>
    </row>
    <row r="1475" spans="6:6" x14ac:dyDescent="0.2">
      <c r="F1475" s="6"/>
    </row>
    <row r="1476" spans="6:6" x14ac:dyDescent="0.2">
      <c r="F1476" s="6"/>
    </row>
    <row r="1477" spans="6:6" x14ac:dyDescent="0.2">
      <c r="F1477" s="6"/>
    </row>
    <row r="1478" spans="6:6" x14ac:dyDescent="0.2">
      <c r="F1478" s="6"/>
    </row>
    <row r="1479" spans="6:6" x14ac:dyDescent="0.2">
      <c r="F1479" s="6"/>
    </row>
    <row r="1480" spans="6:6" x14ac:dyDescent="0.2">
      <c r="F1480" s="6"/>
    </row>
    <row r="1481" spans="6:6" x14ac:dyDescent="0.2">
      <c r="F1481" s="6"/>
    </row>
    <row r="1482" spans="6:6" x14ac:dyDescent="0.2">
      <c r="F1482" s="6"/>
    </row>
    <row r="1483" spans="6:6" x14ac:dyDescent="0.2">
      <c r="F1483" s="6"/>
    </row>
    <row r="1484" spans="6:6" x14ac:dyDescent="0.2">
      <c r="F1484" s="6"/>
    </row>
    <row r="1485" spans="6:6" x14ac:dyDescent="0.2">
      <c r="F1485" s="6"/>
    </row>
    <row r="1486" spans="6:6" x14ac:dyDescent="0.2">
      <c r="F1486" s="6"/>
    </row>
    <row r="1487" spans="6:6" x14ac:dyDescent="0.2">
      <c r="F1487" s="6"/>
    </row>
    <row r="1488" spans="6:6" x14ac:dyDescent="0.2">
      <c r="F1488" s="6"/>
    </row>
    <row r="1489" spans="6:6" x14ac:dyDescent="0.2">
      <c r="F1489" s="6"/>
    </row>
    <row r="1490" spans="6:6" x14ac:dyDescent="0.2">
      <c r="F1490" s="6"/>
    </row>
    <row r="1491" spans="6:6" x14ac:dyDescent="0.2">
      <c r="F1491" s="6"/>
    </row>
    <row r="1492" spans="6:6" x14ac:dyDescent="0.2">
      <c r="F1492" s="6"/>
    </row>
    <row r="1493" spans="6:6" x14ac:dyDescent="0.2">
      <c r="F1493" s="6"/>
    </row>
    <row r="1494" spans="6:6" x14ac:dyDescent="0.2">
      <c r="F1494" s="6"/>
    </row>
    <row r="1495" spans="6:6" x14ac:dyDescent="0.2">
      <c r="F1495" s="6"/>
    </row>
    <row r="1496" spans="6:6" x14ac:dyDescent="0.2">
      <c r="F1496" s="6"/>
    </row>
    <row r="1497" spans="6:6" x14ac:dyDescent="0.2">
      <c r="F1497" s="6"/>
    </row>
    <row r="1498" spans="6:6" x14ac:dyDescent="0.2">
      <c r="F1498" s="6"/>
    </row>
    <row r="1499" spans="6:6" x14ac:dyDescent="0.2">
      <c r="F1499" s="6"/>
    </row>
    <row r="1500" spans="6:6" x14ac:dyDescent="0.2">
      <c r="F1500" s="6"/>
    </row>
    <row r="1501" spans="6:6" x14ac:dyDescent="0.2">
      <c r="F1501" s="6"/>
    </row>
    <row r="1502" spans="6:6" x14ac:dyDescent="0.2">
      <c r="F1502" s="6"/>
    </row>
    <row r="1503" spans="6:6" x14ac:dyDescent="0.2">
      <c r="F1503" s="6"/>
    </row>
    <row r="1504" spans="6:6" x14ac:dyDescent="0.2">
      <c r="F1504" s="6"/>
    </row>
    <row r="1505" spans="6:6" x14ac:dyDescent="0.2">
      <c r="F1505" s="6"/>
    </row>
    <row r="1506" spans="6:6" x14ac:dyDescent="0.2">
      <c r="F1506" s="6"/>
    </row>
    <row r="1507" spans="6:6" x14ac:dyDescent="0.2">
      <c r="F1507" s="6"/>
    </row>
    <row r="1508" spans="6:6" x14ac:dyDescent="0.2">
      <c r="F1508" s="6"/>
    </row>
    <row r="1509" spans="6:6" x14ac:dyDescent="0.2">
      <c r="F1509" s="6"/>
    </row>
    <row r="1510" spans="6:6" x14ac:dyDescent="0.2">
      <c r="F1510" s="6"/>
    </row>
    <row r="1511" spans="6:6" x14ac:dyDescent="0.2">
      <c r="F1511" s="6"/>
    </row>
    <row r="1512" spans="6:6" x14ac:dyDescent="0.2">
      <c r="F1512" s="6"/>
    </row>
    <row r="1513" spans="6:6" x14ac:dyDescent="0.2">
      <c r="F1513" s="6"/>
    </row>
    <row r="1514" spans="6:6" x14ac:dyDescent="0.2">
      <c r="F1514" s="6"/>
    </row>
    <row r="1515" spans="6:6" x14ac:dyDescent="0.2">
      <c r="F1515" s="6"/>
    </row>
    <row r="1516" spans="6:6" x14ac:dyDescent="0.2">
      <c r="F1516" s="6"/>
    </row>
    <row r="1517" spans="6:6" x14ac:dyDescent="0.2">
      <c r="F1517" s="6"/>
    </row>
    <row r="1518" spans="6:6" x14ac:dyDescent="0.2">
      <c r="F1518" s="6"/>
    </row>
    <row r="1519" spans="6:6" x14ac:dyDescent="0.2">
      <c r="F1519" s="6"/>
    </row>
    <row r="1520" spans="6:6" x14ac:dyDescent="0.2">
      <c r="F1520" s="6"/>
    </row>
    <row r="1521" spans="6:6" x14ac:dyDescent="0.2">
      <c r="F1521" s="6"/>
    </row>
    <row r="1522" spans="6:6" x14ac:dyDescent="0.2">
      <c r="F1522" s="6"/>
    </row>
    <row r="1523" spans="6:6" x14ac:dyDescent="0.2">
      <c r="F1523" s="6"/>
    </row>
    <row r="1524" spans="6:6" x14ac:dyDescent="0.2">
      <c r="F1524" s="6"/>
    </row>
    <row r="1525" spans="6:6" x14ac:dyDescent="0.2">
      <c r="F1525" s="6"/>
    </row>
    <row r="1526" spans="6:6" x14ac:dyDescent="0.2">
      <c r="F1526" s="6"/>
    </row>
    <row r="1527" spans="6:6" x14ac:dyDescent="0.2">
      <c r="F1527" s="6"/>
    </row>
    <row r="1528" spans="6:6" x14ac:dyDescent="0.2">
      <c r="F1528" s="6"/>
    </row>
    <row r="1529" spans="6:6" x14ac:dyDescent="0.2">
      <c r="F1529" s="6"/>
    </row>
    <row r="1530" spans="6:6" x14ac:dyDescent="0.2">
      <c r="F1530" s="6"/>
    </row>
    <row r="1531" spans="6:6" x14ac:dyDescent="0.2">
      <c r="F1531" s="6"/>
    </row>
    <row r="1532" spans="6:6" x14ac:dyDescent="0.2">
      <c r="F1532" s="6"/>
    </row>
    <row r="1533" spans="6:6" x14ac:dyDescent="0.2">
      <c r="F1533" s="6"/>
    </row>
    <row r="1534" spans="6:6" x14ac:dyDescent="0.2">
      <c r="F1534" s="6"/>
    </row>
    <row r="1535" spans="6:6" x14ac:dyDescent="0.2">
      <c r="F1535" s="6"/>
    </row>
    <row r="1536" spans="6:6" x14ac:dyDescent="0.2">
      <c r="F153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DATOS</vt:lpstr>
      <vt:lpstr>TAGS</vt:lpstr>
      <vt:lpstr>analogicos</vt:lpstr>
      <vt:lpstr>DATOS!Área_de_impresión</vt:lpstr>
    </vt:vector>
  </TitlesOfParts>
  <Company>Aguaytia Energy del Perú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operador_gas</dc:creator>
  <cp:lastModifiedBy>SCADA_ADMIN</cp:lastModifiedBy>
  <cp:lastPrinted>2013-02-14T11:42:37Z</cp:lastPrinted>
  <dcterms:created xsi:type="dcterms:W3CDTF">2007-07-06T11:36:59Z</dcterms:created>
  <dcterms:modified xsi:type="dcterms:W3CDTF">2025-06-30T20:13:55Z</dcterms:modified>
</cp:coreProperties>
</file>